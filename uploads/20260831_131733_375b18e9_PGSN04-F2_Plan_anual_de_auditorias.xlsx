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S:\Sistema de Gestion\1 SG Documentos\Z Documentos editables\"/>
    </mc:Choice>
  </mc:AlternateContent>
  <xr:revisionPtr revIDLastSave="0" documentId="13_ncr:1_{C6C56207-78D5-4226-8D63-97D725297E45}" xr6:coauthVersionLast="47" xr6:coauthVersionMax="47" xr10:uidLastSave="{00000000-0000-0000-0000-000000000000}"/>
  <bookViews>
    <workbookView xWindow="-110" yWindow="-16310" windowWidth="29020" windowHeight="15700" xr2:uid="{00000000-000D-0000-FFFF-FFFF00000000}"/>
  </bookViews>
  <sheets>
    <sheet name="Visitas Gerenciales" sheetId="2" r:id="rId1"/>
    <sheet name="Reuniones HSEQ" sheetId="5" r:id="rId2"/>
    <sheet name="Auditorias" sheetId="1" r:id="rId3"/>
    <sheet name="ONboard Ingresantes" sheetId="3" r:id="rId4"/>
    <sheet name="Cultura PSM" sheetId="4" r:id="rId5"/>
  </sheets>
  <definedNames>
    <definedName name="Marcar1" localSheetId="3">'ONboard Ingresantes'!$B$3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2" i="5" l="1"/>
  <c r="Z23" i="5" s="1"/>
  <c r="Z22" i="5"/>
  <c r="Y22" i="5"/>
  <c r="X22" i="5"/>
  <c r="W22" i="5"/>
  <c r="V23" i="5" s="1"/>
  <c r="V22" i="5"/>
  <c r="U22" i="5"/>
  <c r="T22" i="5"/>
  <c r="S22" i="5"/>
  <c r="R23" i="5" s="1"/>
  <c r="R22" i="5"/>
  <c r="Q22" i="5"/>
  <c r="P22" i="5"/>
  <c r="O22" i="5"/>
  <c r="N22" i="5"/>
  <c r="M22" i="5"/>
  <c r="L23" i="5" s="1"/>
  <c r="L22" i="5"/>
  <c r="K22" i="5"/>
  <c r="J22" i="5"/>
  <c r="I22" i="5"/>
  <c r="H23" i="5" s="1"/>
  <c r="H22" i="5"/>
  <c r="G22" i="5"/>
  <c r="F22" i="5"/>
  <c r="E22" i="5"/>
  <c r="D23" i="5" s="1"/>
  <c r="D24" i="5" s="1"/>
  <c r="D22" i="5"/>
  <c r="Q22" i="2"/>
  <c r="R22" i="2"/>
  <c r="S22" i="2"/>
  <c r="T22" i="2"/>
  <c r="U22" i="2"/>
  <c r="V22" i="2"/>
  <c r="W22" i="2"/>
  <c r="X22" i="2"/>
  <c r="Y22" i="2"/>
  <c r="Z22" i="2"/>
  <c r="AA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T23" i="5" l="1"/>
  <c r="X23" i="5"/>
  <c r="P23" i="5"/>
  <c r="N23" i="5"/>
  <c r="J23" i="5"/>
  <c r="F23" i="5"/>
  <c r="D23" i="2"/>
  <c r="D24" i="2" s="1"/>
  <c r="T23" i="2"/>
  <c r="L23" i="2"/>
  <c r="J23" i="2"/>
  <c r="R23" i="2"/>
  <c r="Z23" i="2"/>
  <c r="F23" i="2"/>
  <c r="N23" i="2"/>
  <c r="V23" i="2"/>
  <c r="H23" i="2"/>
  <c r="P23" i="2"/>
  <c r="X23" i="2"/>
  <c r="H23" i="1"/>
  <c r="R23" i="1"/>
  <c r="P23" i="1"/>
  <c r="J23" i="1"/>
  <c r="Z23" i="1"/>
  <c r="X23" i="1"/>
  <c r="D23" i="1"/>
  <c r="V23" i="1"/>
  <c r="N23" i="1"/>
  <c r="T23" i="1"/>
  <c r="F23" i="1"/>
  <c r="L23" i="1"/>
  <c r="D24" i="1" l="1"/>
</calcChain>
</file>

<file path=xl/sharedStrings.xml><?xml version="1.0" encoding="utf-8"?>
<sst xmlns="http://schemas.openxmlformats.org/spreadsheetml/2006/main" count="468" uniqueCount="148">
  <si>
    <t>PROCESO</t>
  </si>
  <si>
    <t xml:space="preserve">MES </t>
  </si>
  <si>
    <t>HORAS DE DURACION</t>
  </si>
  <si>
    <t>AUDITORES</t>
  </si>
  <si>
    <t>Personal Participante</t>
  </si>
  <si>
    <t xml:space="preserve">Sector </t>
  </si>
  <si>
    <t>CUMPLIMIENTO ANUAL DE PROGRAMA</t>
  </si>
  <si>
    <t>AUDITORIAS REALIZADAS</t>
  </si>
  <si>
    <t>% CUMPLIMIENTO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</si>
  <si>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</si>
  <si>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</si>
  <si>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</si>
  <si>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</si>
  <si>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</si>
  <si>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</si>
  <si>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</si>
  <si>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</si>
  <si>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</si>
  <si>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</si>
  <si>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</si>
  <si>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</si>
  <si>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Operaciones</t>
  </si>
  <si>
    <t>PLAN ANUAL DE AUDITORIAS</t>
  </si>
  <si>
    <t xml:space="preserve">PGSN04-F2 
Rev.04 Ago.25
</t>
  </si>
  <si>
    <t>x</t>
  </si>
  <si>
    <t>Belizón Andres</t>
  </si>
  <si>
    <t>Morales Diego</t>
  </si>
  <si>
    <t>Basoalto Juan</t>
  </si>
  <si>
    <t>Cuñelao Noelia</t>
  </si>
  <si>
    <t>Marcón Vanesa</t>
  </si>
  <si>
    <t>Costallat Ariel</t>
  </si>
  <si>
    <t>Sampietro Vanina</t>
  </si>
  <si>
    <t>Ibañez Ariel</t>
  </si>
  <si>
    <t>Jara Carina</t>
  </si>
  <si>
    <t>RRHH/ Compras</t>
  </si>
  <si>
    <t>Ventas</t>
  </si>
  <si>
    <t>Administración</t>
  </si>
  <si>
    <t>Bonfils Victor</t>
  </si>
  <si>
    <t>Gerencia</t>
  </si>
  <si>
    <t>HSEQ</t>
  </si>
  <si>
    <t>OPERACIONES</t>
  </si>
  <si>
    <t>ADMINISTRACION</t>
  </si>
  <si>
    <t>COMPRAS</t>
  </si>
  <si>
    <t>VENTAS</t>
  </si>
  <si>
    <t>RRHH</t>
  </si>
  <si>
    <t>GERENCIA</t>
  </si>
  <si>
    <t>X</t>
  </si>
  <si>
    <t>FECHA DE ACTUALIZACIÓN: 21/01/2026</t>
  </si>
  <si>
    <t>Realizado</t>
  </si>
  <si>
    <t>Planificado</t>
  </si>
  <si>
    <t>SERVICIO DE SLICKLINE</t>
  </si>
  <si>
    <t>PLAN ANUAL DE VISITAS GERENCIALES</t>
  </si>
  <si>
    <t>Grier Facundo</t>
  </si>
  <si>
    <t>Formación presencial</t>
  </si>
  <si>
    <t>Mes 1</t>
  </si>
  <si>
    <t>Mes 2</t>
  </si>
  <si>
    <t>Mes 3</t>
  </si>
  <si>
    <t>Mes 4</t>
  </si>
  <si>
    <t>Mes 5</t>
  </si>
  <si>
    <t>Mes 6</t>
  </si>
  <si>
    <t>Presentación de la organización</t>
  </si>
  <si>
    <t>Organigrama</t>
  </si>
  <si>
    <t>Perfil de puesto</t>
  </si>
  <si>
    <t>Plan de carrera</t>
  </si>
  <si>
    <t>Política de HSEQ</t>
  </si>
  <si>
    <t>Sistema de Gestión de Servicios NASER SRL</t>
  </si>
  <si>
    <t>Análisis de riesgos</t>
  </si>
  <si>
    <t>Observaciones preventivas</t>
  </si>
  <si>
    <t>Roles ante emergencias</t>
  </si>
  <si>
    <t>Uso de vehículos</t>
  </si>
  <si>
    <t>Resultados de examen médico</t>
  </si>
  <si>
    <t>Manual HSE</t>
  </si>
  <si>
    <t>Recorrido por instalaciones</t>
  </si>
  <si>
    <t>Formación interna</t>
  </si>
  <si>
    <t>Alertas HSE</t>
  </si>
  <si>
    <t>Procedimientos operativos</t>
  </si>
  <si>
    <t>Uso de EPP - Detención de tareas – Autocontrol Preventivo - Emergencias - RCP y PPAA.</t>
  </si>
  <si>
    <t>Gestión de Residuos</t>
  </si>
  <si>
    <t>10 reglas de Oro</t>
  </si>
  <si>
    <t>Trabajo en Altura</t>
  </si>
  <si>
    <t>Operador de Torque hidráulico</t>
  </si>
  <si>
    <t>Formación externa</t>
  </si>
  <si>
    <t>PASE</t>
  </si>
  <si>
    <t>Conducción Preventiva de Vehículos Livianos</t>
  </si>
  <si>
    <t>Conducción Preventiva de Vehículos Pesados</t>
  </si>
  <si>
    <t>Inducción Clientes</t>
  </si>
  <si>
    <t>Eslingador y Señalero de Izaje</t>
  </si>
  <si>
    <t>Operador de Izaje</t>
  </si>
  <si>
    <t>Supervisor de Izaje</t>
  </si>
  <si>
    <t>Well Control</t>
  </si>
  <si>
    <t>Prestación de servicios</t>
  </si>
  <si>
    <t>Trabajos en Base</t>
  </si>
  <si>
    <t>Trabajos en Equipos L a V</t>
  </si>
  <si>
    <t>Trabajos en Equipos NOC</t>
  </si>
  <si>
    <t>Evaluación</t>
  </si>
  <si>
    <t>Desempeño y técnica</t>
  </si>
  <si>
    <t>Comunicaciones legales</t>
  </si>
  <si>
    <t>OnBoarding: Personal Operativo</t>
  </si>
  <si>
    <t>Verificación de barreras críticas.</t>
  </si>
  <si>
    <t>Identificación de desviaciones (fugas, vibraciones, corrosión).</t>
  </si>
  <si>
    <t>Procedimientos operativos.</t>
  </si>
  <si>
    <t>Integridad mecánica.</t>
  </si>
  <si>
    <t>Qué ocurrió</t>
  </si>
  <si>
    <t>Qué barreras fallaron</t>
  </si>
  <si>
    <t>Qué aprendimos</t>
  </si>
  <si>
    <t>Cómo evitarlo</t>
  </si>
  <si>
    <t>BowTie humano (personas representan barreras).</t>
  </si>
  <si>
    <t>Línea de tiempo de un incidente famoso.</t>
  </si>
  <si>
    <t>Escape room de seguridad (resolución de fallas de proceso).</t>
  </si>
  <si>
    <t>Equipos</t>
  </si>
  <si>
    <t>Procedimientos</t>
  </si>
  <si>
    <t>Personal</t>
  </si>
  <si>
    <t>Condiciones operativas</t>
  </si>
  <si>
    <t>Parar una tarea insegura.</t>
  </si>
  <si>
    <t>Corregir una práctica riesgosa.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</si>
  <si>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</si>
  <si>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</si>
  <si>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</si>
  <si>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</si>
  <si>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</si>
  <si>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</si>
  <si>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</si>
  <si>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</si>
  <si>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</si>
  <si>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</si>
  <si>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</si>
  <si>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</si>
  <si>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Cultura Justa: reportá sin miedo</t>
  </si>
  <si>
    <t>Protección de manos</t>
  </si>
  <si>
    <t>¿Qué energía estoy controlando?</t>
  </si>
  <si>
    <t>¿Qué puede fallar?</t>
  </si>
  <si>
    <t>¿Están las barreras disponibles?</t>
  </si>
  <si>
    <t>Alarmas</t>
  </si>
  <si>
    <t>¿Qué pasa si ocurre un incidente?</t>
  </si>
  <si>
    <t>Conducción invernal de vehículos</t>
  </si>
  <si>
    <t>Plan de verano</t>
  </si>
  <si>
    <t>Reportar un incidente</t>
  </si>
  <si>
    <t>1️⃣ Charlas de Seguridad de Procesos
🎯 Objetivo: instalar el pensamiento de “¿qué podría salir mal?”.</t>
  </si>
  <si>
    <t>2️⃣ Walkdowns de Seguridad con Supervisores - Check: “Ver–Pensar–Actuar”.
🎯 Objetivo: hacer visible el liderazgo y volver la seguridad parte del trabajo diario.</t>
  </si>
  <si>
    <t>3️⃣ Revisión de Barreras con Bow Tie
🎯 Objetivo: entender qué barreras protegen la operación y cómo evitar fallas catastróficas.</t>
  </si>
  <si>
    <t>Revisión de incidentes reales (internos o de la industria).</t>
  </si>
  <si>
    <t>Historias de alta severidad adaptadas al contexto local.</t>
  </si>
  <si>
    <t>5️⃣  Contar Historias de Eventos Reales (“Storytelling PSM”) Por líderes o supervisores
🎯 Objetivo: generar memoria organizacional.</t>
  </si>
  <si>
    <t>4️⃣ Momentos de Seguridad (Kick-Off HSEQ) antes de tareas críticas (Izajes -PEM -Purgas -Trabajo en altura)
🎯 Objetivo: convertir la seguridad en hábito cotidiano.</t>
  </si>
  <si>
    <t>6️⃣ Juegos y Dinámicas de PSM
🎯 Objetivo: aprendizaje activo, especialmente para equipos operativos.</t>
  </si>
  <si>
    <t>7️⃣ Campañas Temáticas
Incluye afiches, videos cortos, trivias, microcapacitaciones.</t>
  </si>
  <si>
    <t>8️⃣ MOC Day (Jornada de Gestión de Cambios) -Revisión grupal de cambios
🎯 Objetivo: prevenir modificaciones no controladas.</t>
  </si>
  <si>
    <t>9️⃣Programa de Reconocimiento a Conductas de Seguridad de Procesos
🎯 Objetivo: reforzar comportamientos correctos.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</si>
</sst>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name val="Arial"/>
      <family val="2"/>
    </font>
    <font>
      <b/>
      <sz val="10"/>
      <name val="Calibri"/>
      <family val="2"/>
    </font>
    <font>
      <b/>
      <sz val="10"/>
      <color rgb="FF0000FF"/>
      <name val="Arial"/>
      <family val="2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Aptos"/>
      <family val="2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54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1" applyFont="1" applyBorder="1" applyAlignment="1">
      <alignment vertical="center"/>
    </xf>
    <xf numFmtId="0" fontId="6" fillId="0" borderId="1" xfId="1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1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11" xfId="0" applyBorder="1"/>
    <xf numFmtId="0" fontId="11" fillId="4" borderId="2" xfId="0" applyFont="1" applyFill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790575</xdr:colOff>
      <xdr:row>2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154536-F054-4A67-AA62-FB9E30789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6950" cy="53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790575</xdr:colOff>
      <xdr:row>2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D57C1D-E0EF-434F-9BF9-31F07B1A7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6950" cy="53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787400</xdr:colOff>
      <xdr:row>2</xdr:row>
      <xdr:rowOff>6350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53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A591-18E0-4977-8818-614318432787}">
  <sheetPr>
    <pageSetUpPr fitToPage="1"/>
  </sheetPr>
  <dimension ref="A1:AA25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2" sqref="A12"/>
      <selection pane="bottomRight" activeCell="I29" sqref="I29"/>
    </sheetView>
  </sheetViews>
  <sheetFormatPr baseColWidth="10" defaultRowHeight="14.5" x14ac:dyDescent="0.35"/>
  <cols>
    <col min="1" max="1" width="3" bestFit="1" customWidth="1"/>
    <col min="2" max="2" width="43.7265625" customWidth="1"/>
    <col min="3" max="3" width="20" customWidth="1"/>
    <col min="4" max="27" width="10.7265625" customWidth="1"/>
    <col min="243" max="243" width="3" bestFit="1" customWidth="1"/>
    <col min="244" max="244" width="43.7265625" customWidth="1"/>
    <col min="245" max="245" width="20" customWidth="1"/>
    <col min="246" max="281" width="10.7265625" customWidth="1"/>
    <col min="499" max="499" width="3" bestFit="1" customWidth="1"/>
    <col min="500" max="500" width="43.7265625" customWidth="1"/>
    <col min="501" max="501" width="20" customWidth="1"/>
    <col min="502" max="537" width="10.7265625" customWidth="1"/>
    <col min="755" max="755" width="3" bestFit="1" customWidth="1"/>
    <col min="756" max="756" width="43.7265625" customWidth="1"/>
    <col min="757" max="757" width="20" customWidth="1"/>
    <col min="758" max="793" width="10.7265625" customWidth="1"/>
    <col min="1011" max="1011" width="3" bestFit="1" customWidth="1"/>
    <col min="1012" max="1012" width="43.7265625" customWidth="1"/>
    <col min="1013" max="1013" width="20" customWidth="1"/>
    <col min="1014" max="1049" width="10.7265625" customWidth="1"/>
    <col min="1267" max="1267" width="3" bestFit="1" customWidth="1"/>
    <col min="1268" max="1268" width="43.7265625" customWidth="1"/>
    <col min="1269" max="1269" width="20" customWidth="1"/>
    <col min="1270" max="1305" width="10.7265625" customWidth="1"/>
    <col min="1523" max="1523" width="3" bestFit="1" customWidth="1"/>
    <col min="1524" max="1524" width="43.7265625" customWidth="1"/>
    <col min="1525" max="1525" width="20" customWidth="1"/>
    <col min="1526" max="1561" width="10.7265625" customWidth="1"/>
    <col min="1779" max="1779" width="3" bestFit="1" customWidth="1"/>
    <col min="1780" max="1780" width="43.7265625" customWidth="1"/>
    <col min="1781" max="1781" width="20" customWidth="1"/>
    <col min="1782" max="1817" width="10.7265625" customWidth="1"/>
    <col min="2035" max="2035" width="3" bestFit="1" customWidth="1"/>
    <col min="2036" max="2036" width="43.7265625" customWidth="1"/>
    <col min="2037" max="2037" width="20" customWidth="1"/>
    <col min="2038" max="2073" width="10.7265625" customWidth="1"/>
    <col min="2291" max="2291" width="3" bestFit="1" customWidth="1"/>
    <col min="2292" max="2292" width="43.7265625" customWidth="1"/>
    <col min="2293" max="2293" width="20" customWidth="1"/>
    <col min="2294" max="2329" width="10.7265625" customWidth="1"/>
    <col min="2547" max="2547" width="3" bestFit="1" customWidth="1"/>
    <col min="2548" max="2548" width="43.7265625" customWidth="1"/>
    <col min="2549" max="2549" width="20" customWidth="1"/>
    <col min="2550" max="2585" width="10.7265625" customWidth="1"/>
    <col min="2803" max="2803" width="3" bestFit="1" customWidth="1"/>
    <col min="2804" max="2804" width="43.7265625" customWidth="1"/>
    <col min="2805" max="2805" width="20" customWidth="1"/>
    <col min="2806" max="2841" width="10.7265625" customWidth="1"/>
    <col min="3059" max="3059" width="3" bestFit="1" customWidth="1"/>
    <col min="3060" max="3060" width="43.7265625" customWidth="1"/>
    <col min="3061" max="3061" width="20" customWidth="1"/>
    <col min="3062" max="3097" width="10.7265625" customWidth="1"/>
    <col min="3315" max="3315" width="3" bestFit="1" customWidth="1"/>
    <col min="3316" max="3316" width="43.7265625" customWidth="1"/>
    <col min="3317" max="3317" width="20" customWidth="1"/>
    <col min="3318" max="3353" width="10.7265625" customWidth="1"/>
    <col min="3571" max="3571" width="3" bestFit="1" customWidth="1"/>
    <col min="3572" max="3572" width="43.7265625" customWidth="1"/>
    <col min="3573" max="3573" width="20" customWidth="1"/>
    <col min="3574" max="3609" width="10.7265625" customWidth="1"/>
    <col min="3827" max="3827" width="3" bestFit="1" customWidth="1"/>
    <col min="3828" max="3828" width="43.7265625" customWidth="1"/>
    <col min="3829" max="3829" width="20" customWidth="1"/>
    <col min="3830" max="3865" width="10.7265625" customWidth="1"/>
    <col min="4083" max="4083" width="3" bestFit="1" customWidth="1"/>
    <col min="4084" max="4084" width="43.7265625" customWidth="1"/>
    <col min="4085" max="4085" width="20" customWidth="1"/>
    <col min="4086" max="4121" width="10.7265625" customWidth="1"/>
    <col min="4339" max="4339" width="3" bestFit="1" customWidth="1"/>
    <col min="4340" max="4340" width="43.7265625" customWidth="1"/>
    <col min="4341" max="4341" width="20" customWidth="1"/>
    <col min="4342" max="4377" width="10.7265625" customWidth="1"/>
    <col min="4595" max="4595" width="3" bestFit="1" customWidth="1"/>
    <col min="4596" max="4596" width="43.7265625" customWidth="1"/>
    <col min="4597" max="4597" width="20" customWidth="1"/>
    <col min="4598" max="4633" width="10.7265625" customWidth="1"/>
    <col min="4851" max="4851" width="3" bestFit="1" customWidth="1"/>
    <col min="4852" max="4852" width="43.7265625" customWidth="1"/>
    <col min="4853" max="4853" width="20" customWidth="1"/>
    <col min="4854" max="4889" width="10.7265625" customWidth="1"/>
    <col min="5107" max="5107" width="3" bestFit="1" customWidth="1"/>
    <col min="5108" max="5108" width="43.7265625" customWidth="1"/>
    <col min="5109" max="5109" width="20" customWidth="1"/>
    <col min="5110" max="5145" width="10.7265625" customWidth="1"/>
    <col min="5363" max="5363" width="3" bestFit="1" customWidth="1"/>
    <col min="5364" max="5364" width="43.7265625" customWidth="1"/>
    <col min="5365" max="5365" width="20" customWidth="1"/>
    <col min="5366" max="5401" width="10.7265625" customWidth="1"/>
    <col min="5619" max="5619" width="3" bestFit="1" customWidth="1"/>
    <col min="5620" max="5620" width="43.7265625" customWidth="1"/>
    <col min="5621" max="5621" width="20" customWidth="1"/>
    <col min="5622" max="5657" width="10.7265625" customWidth="1"/>
    <col min="5875" max="5875" width="3" bestFit="1" customWidth="1"/>
    <col min="5876" max="5876" width="43.7265625" customWidth="1"/>
    <col min="5877" max="5877" width="20" customWidth="1"/>
    <col min="5878" max="5913" width="10.7265625" customWidth="1"/>
    <col min="6131" max="6131" width="3" bestFit="1" customWidth="1"/>
    <col min="6132" max="6132" width="43.7265625" customWidth="1"/>
    <col min="6133" max="6133" width="20" customWidth="1"/>
    <col min="6134" max="6169" width="10.7265625" customWidth="1"/>
    <col min="6387" max="6387" width="3" bestFit="1" customWidth="1"/>
    <col min="6388" max="6388" width="43.7265625" customWidth="1"/>
    <col min="6389" max="6389" width="20" customWidth="1"/>
    <col min="6390" max="6425" width="10.7265625" customWidth="1"/>
    <col min="6643" max="6643" width="3" bestFit="1" customWidth="1"/>
    <col min="6644" max="6644" width="43.7265625" customWidth="1"/>
    <col min="6645" max="6645" width="20" customWidth="1"/>
    <col min="6646" max="6681" width="10.7265625" customWidth="1"/>
    <col min="6899" max="6899" width="3" bestFit="1" customWidth="1"/>
    <col min="6900" max="6900" width="43.7265625" customWidth="1"/>
    <col min="6901" max="6901" width="20" customWidth="1"/>
    <col min="6902" max="6937" width="10.7265625" customWidth="1"/>
    <col min="7155" max="7155" width="3" bestFit="1" customWidth="1"/>
    <col min="7156" max="7156" width="43.7265625" customWidth="1"/>
    <col min="7157" max="7157" width="20" customWidth="1"/>
    <col min="7158" max="7193" width="10.7265625" customWidth="1"/>
    <col min="7411" max="7411" width="3" bestFit="1" customWidth="1"/>
    <col min="7412" max="7412" width="43.7265625" customWidth="1"/>
    <col min="7413" max="7413" width="20" customWidth="1"/>
    <col min="7414" max="7449" width="10.7265625" customWidth="1"/>
    <col min="7667" max="7667" width="3" bestFit="1" customWidth="1"/>
    <col min="7668" max="7668" width="43.7265625" customWidth="1"/>
    <col min="7669" max="7669" width="20" customWidth="1"/>
    <col min="7670" max="7705" width="10.7265625" customWidth="1"/>
    <col min="7923" max="7923" width="3" bestFit="1" customWidth="1"/>
    <col min="7924" max="7924" width="43.7265625" customWidth="1"/>
    <col min="7925" max="7925" width="20" customWidth="1"/>
    <col min="7926" max="7961" width="10.7265625" customWidth="1"/>
    <col min="8179" max="8179" width="3" bestFit="1" customWidth="1"/>
    <col min="8180" max="8180" width="43.7265625" customWidth="1"/>
    <col min="8181" max="8181" width="20" customWidth="1"/>
    <col min="8182" max="8217" width="10.7265625" customWidth="1"/>
    <col min="8435" max="8435" width="3" bestFit="1" customWidth="1"/>
    <col min="8436" max="8436" width="43.7265625" customWidth="1"/>
    <col min="8437" max="8437" width="20" customWidth="1"/>
    <col min="8438" max="8473" width="10.7265625" customWidth="1"/>
    <col min="8691" max="8691" width="3" bestFit="1" customWidth="1"/>
    <col min="8692" max="8692" width="43.7265625" customWidth="1"/>
    <col min="8693" max="8693" width="20" customWidth="1"/>
    <col min="8694" max="8729" width="10.7265625" customWidth="1"/>
    <col min="8947" max="8947" width="3" bestFit="1" customWidth="1"/>
    <col min="8948" max="8948" width="43.7265625" customWidth="1"/>
    <col min="8949" max="8949" width="20" customWidth="1"/>
    <col min="8950" max="8985" width="10.7265625" customWidth="1"/>
    <col min="9203" max="9203" width="3" bestFit="1" customWidth="1"/>
    <col min="9204" max="9204" width="43.7265625" customWidth="1"/>
    <col min="9205" max="9205" width="20" customWidth="1"/>
    <col min="9206" max="9241" width="10.7265625" customWidth="1"/>
    <col min="9459" max="9459" width="3" bestFit="1" customWidth="1"/>
    <col min="9460" max="9460" width="43.7265625" customWidth="1"/>
    <col min="9461" max="9461" width="20" customWidth="1"/>
    <col min="9462" max="9497" width="10.7265625" customWidth="1"/>
    <col min="9715" max="9715" width="3" bestFit="1" customWidth="1"/>
    <col min="9716" max="9716" width="43.7265625" customWidth="1"/>
    <col min="9717" max="9717" width="20" customWidth="1"/>
    <col min="9718" max="9753" width="10.7265625" customWidth="1"/>
    <col min="9971" max="9971" width="3" bestFit="1" customWidth="1"/>
    <col min="9972" max="9972" width="43.7265625" customWidth="1"/>
    <col min="9973" max="9973" width="20" customWidth="1"/>
    <col min="9974" max="10009" width="10.7265625" customWidth="1"/>
    <col min="10227" max="10227" width="3" bestFit="1" customWidth="1"/>
    <col min="10228" max="10228" width="43.7265625" customWidth="1"/>
    <col min="10229" max="10229" width="20" customWidth="1"/>
    <col min="10230" max="10265" width="10.7265625" customWidth="1"/>
    <col min="10483" max="10483" width="3" bestFit="1" customWidth="1"/>
    <col min="10484" max="10484" width="43.7265625" customWidth="1"/>
    <col min="10485" max="10485" width="20" customWidth="1"/>
    <col min="10486" max="10521" width="10.7265625" customWidth="1"/>
    <col min="10739" max="10739" width="3" bestFit="1" customWidth="1"/>
    <col min="10740" max="10740" width="43.7265625" customWidth="1"/>
    <col min="10741" max="10741" width="20" customWidth="1"/>
    <col min="10742" max="10777" width="10.7265625" customWidth="1"/>
    <col min="10995" max="10995" width="3" bestFit="1" customWidth="1"/>
    <col min="10996" max="10996" width="43.7265625" customWidth="1"/>
    <col min="10997" max="10997" width="20" customWidth="1"/>
    <col min="10998" max="11033" width="10.7265625" customWidth="1"/>
    <col min="11251" max="11251" width="3" bestFit="1" customWidth="1"/>
    <col min="11252" max="11252" width="43.7265625" customWidth="1"/>
    <col min="11253" max="11253" width="20" customWidth="1"/>
    <col min="11254" max="11289" width="10.7265625" customWidth="1"/>
    <col min="11507" max="11507" width="3" bestFit="1" customWidth="1"/>
    <col min="11508" max="11508" width="43.7265625" customWidth="1"/>
    <col min="11509" max="11509" width="20" customWidth="1"/>
    <col min="11510" max="11545" width="10.7265625" customWidth="1"/>
    <col min="11763" max="11763" width="3" bestFit="1" customWidth="1"/>
    <col min="11764" max="11764" width="43.7265625" customWidth="1"/>
    <col min="11765" max="11765" width="20" customWidth="1"/>
    <col min="11766" max="11801" width="10.7265625" customWidth="1"/>
    <col min="12019" max="12019" width="3" bestFit="1" customWidth="1"/>
    <col min="12020" max="12020" width="43.7265625" customWidth="1"/>
    <col min="12021" max="12021" width="20" customWidth="1"/>
    <col min="12022" max="12057" width="10.7265625" customWidth="1"/>
    <col min="12275" max="12275" width="3" bestFit="1" customWidth="1"/>
    <col min="12276" max="12276" width="43.7265625" customWidth="1"/>
    <col min="12277" max="12277" width="20" customWidth="1"/>
    <col min="12278" max="12313" width="10.7265625" customWidth="1"/>
    <col min="12531" max="12531" width="3" bestFit="1" customWidth="1"/>
    <col min="12532" max="12532" width="43.7265625" customWidth="1"/>
    <col min="12533" max="12533" width="20" customWidth="1"/>
    <col min="12534" max="12569" width="10.7265625" customWidth="1"/>
    <col min="12787" max="12787" width="3" bestFit="1" customWidth="1"/>
    <col min="12788" max="12788" width="43.7265625" customWidth="1"/>
    <col min="12789" max="12789" width="20" customWidth="1"/>
    <col min="12790" max="12825" width="10.7265625" customWidth="1"/>
    <col min="13043" max="13043" width="3" bestFit="1" customWidth="1"/>
    <col min="13044" max="13044" width="43.7265625" customWidth="1"/>
    <col min="13045" max="13045" width="20" customWidth="1"/>
    <col min="13046" max="13081" width="10.7265625" customWidth="1"/>
    <col min="13299" max="13299" width="3" bestFit="1" customWidth="1"/>
    <col min="13300" max="13300" width="43.7265625" customWidth="1"/>
    <col min="13301" max="13301" width="20" customWidth="1"/>
    <col min="13302" max="13337" width="10.7265625" customWidth="1"/>
    <col min="13555" max="13555" width="3" bestFit="1" customWidth="1"/>
    <col min="13556" max="13556" width="43.7265625" customWidth="1"/>
    <col min="13557" max="13557" width="20" customWidth="1"/>
    <col min="13558" max="13593" width="10.7265625" customWidth="1"/>
    <col min="13811" max="13811" width="3" bestFit="1" customWidth="1"/>
    <col min="13812" max="13812" width="43.7265625" customWidth="1"/>
    <col min="13813" max="13813" width="20" customWidth="1"/>
    <col min="13814" max="13849" width="10.7265625" customWidth="1"/>
    <col min="14067" max="14067" width="3" bestFit="1" customWidth="1"/>
    <col min="14068" max="14068" width="43.7265625" customWidth="1"/>
    <col min="14069" max="14069" width="20" customWidth="1"/>
    <col min="14070" max="14105" width="10.7265625" customWidth="1"/>
    <col min="14323" max="14323" width="3" bestFit="1" customWidth="1"/>
    <col min="14324" max="14324" width="43.7265625" customWidth="1"/>
    <col min="14325" max="14325" width="20" customWidth="1"/>
    <col min="14326" max="14361" width="10.7265625" customWidth="1"/>
    <col min="14579" max="14579" width="3" bestFit="1" customWidth="1"/>
    <col min="14580" max="14580" width="43.7265625" customWidth="1"/>
    <col min="14581" max="14581" width="20" customWidth="1"/>
    <col min="14582" max="14617" width="10.7265625" customWidth="1"/>
    <col min="14835" max="14835" width="3" bestFit="1" customWidth="1"/>
    <col min="14836" max="14836" width="43.7265625" customWidth="1"/>
    <col min="14837" max="14837" width="20" customWidth="1"/>
    <col min="14838" max="14873" width="10.7265625" customWidth="1"/>
    <col min="15091" max="15091" width="3" bestFit="1" customWidth="1"/>
    <col min="15092" max="15092" width="43.7265625" customWidth="1"/>
    <col min="15093" max="15093" width="20" customWidth="1"/>
    <col min="15094" max="15129" width="10.7265625" customWidth="1"/>
    <col min="15347" max="15347" width="3" bestFit="1" customWidth="1"/>
    <col min="15348" max="15348" width="43.7265625" customWidth="1"/>
    <col min="15349" max="15349" width="20" customWidth="1"/>
    <col min="15350" max="15385" width="10.7265625" customWidth="1"/>
    <col min="15603" max="15603" width="3" bestFit="1" customWidth="1"/>
    <col min="15604" max="15604" width="43.7265625" customWidth="1"/>
    <col min="15605" max="15605" width="20" customWidth="1"/>
    <col min="15606" max="15641" width="10.7265625" customWidth="1"/>
    <col min="15859" max="15859" width="3" bestFit="1" customWidth="1"/>
    <col min="15860" max="15860" width="43.7265625" customWidth="1"/>
    <col min="15861" max="15861" width="20" customWidth="1"/>
    <col min="15862" max="15897" width="10.7265625" customWidth="1"/>
    <col min="16115" max="16115" width="3" bestFit="1" customWidth="1"/>
    <col min="16116" max="16116" width="43.7265625" customWidth="1"/>
    <col min="16117" max="16117" width="20" customWidth="1"/>
    <col min="16118" max="16153" width="10.7265625" customWidth="1"/>
  </cols>
  <sheetData>
    <row r="1" spans="1:27" ht="21.75" customHeight="1" x14ac:dyDescent="0.35">
      <c r="A1" s="1"/>
      <c r="B1" s="24" t="s">
        <v>51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 t="s">
        <v>23</v>
      </c>
      <c r="Z1" s="26"/>
      <c r="AA1" s="26"/>
    </row>
    <row r="2" spans="1:27" ht="19.5" customHeight="1" x14ac:dyDescent="0.35">
      <c r="A2" s="1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6"/>
      <c r="Z2" s="26"/>
      <c r="AA2" s="26"/>
    </row>
    <row r="3" spans="1:27" ht="20.25" customHeight="1" x14ac:dyDescent="0.35">
      <c r="A3" s="26" t="s">
        <v>47</v>
      </c>
      <c r="B3" s="26"/>
      <c r="C3" s="1"/>
      <c r="D3" s="27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9"/>
    </row>
    <row r="4" spans="1:27" ht="14.5" customHeight="1" x14ac:dyDescent="0.35">
      <c r="A4" s="30" t="s">
        <v>0</v>
      </c>
      <c r="B4" s="31"/>
      <c r="C4" s="31"/>
      <c r="D4" s="32" t="s">
        <v>50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4"/>
    </row>
    <row r="5" spans="1:27" x14ac:dyDescent="0.35">
      <c r="A5" s="31"/>
      <c r="B5" s="31"/>
      <c r="C5" s="31"/>
      <c r="D5" s="35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7"/>
    </row>
    <row r="6" spans="1:27" ht="15" customHeight="1" x14ac:dyDescent="0.35">
      <c r="A6" s="38" t="s">
        <v>1</v>
      </c>
      <c r="B6" s="38"/>
      <c r="C6" s="38"/>
      <c r="D6" s="38" t="s">
        <v>9</v>
      </c>
      <c r="E6" s="38"/>
      <c r="F6" s="38" t="s">
        <v>10</v>
      </c>
      <c r="G6" s="38"/>
      <c r="H6" s="38" t="s">
        <v>11</v>
      </c>
      <c r="I6" s="38"/>
      <c r="J6" s="38" t="s">
        <v>12</v>
      </c>
      <c r="K6" s="38"/>
      <c r="L6" s="38" t="s">
        <v>13</v>
      </c>
      <c r="M6" s="38"/>
      <c r="N6" s="38" t="s">
        <v>14</v>
      </c>
      <c r="O6" s="38"/>
      <c r="P6" s="38" t="s">
        <v>15</v>
      </c>
      <c r="Q6" s="38"/>
      <c r="R6" s="38" t="s">
        <v>16</v>
      </c>
      <c r="S6" s="38"/>
      <c r="T6" s="38" t="s">
        <v>17</v>
      </c>
      <c r="U6" s="38"/>
      <c r="V6" s="38" t="s">
        <v>18</v>
      </c>
      <c r="W6" s="38"/>
      <c r="X6" s="38" t="s">
        <v>19</v>
      </c>
      <c r="Y6" s="38"/>
      <c r="Z6" s="38" t="s">
        <v>20</v>
      </c>
      <c r="AA6" s="38"/>
    </row>
    <row r="7" spans="1:27" x14ac:dyDescent="0.35">
      <c r="A7" s="38" t="s">
        <v>2</v>
      </c>
      <c r="B7" s="38"/>
      <c r="C7" s="38"/>
      <c r="D7" s="42"/>
      <c r="E7" s="42"/>
      <c r="F7" s="42">
        <v>4</v>
      </c>
      <c r="G7" s="42"/>
      <c r="H7" s="42">
        <v>4</v>
      </c>
      <c r="I7" s="42"/>
      <c r="J7" s="42">
        <v>4</v>
      </c>
      <c r="K7" s="42"/>
      <c r="L7" s="42">
        <v>4</v>
      </c>
      <c r="M7" s="42"/>
      <c r="N7" s="42">
        <v>4</v>
      </c>
      <c r="O7" s="42"/>
      <c r="P7" s="42">
        <v>4</v>
      </c>
      <c r="Q7" s="42"/>
      <c r="R7" s="42">
        <v>4</v>
      </c>
      <c r="S7" s="42"/>
      <c r="T7" s="42">
        <v>4</v>
      </c>
      <c r="U7" s="42"/>
      <c r="V7" s="42">
        <v>4</v>
      </c>
      <c r="W7" s="42"/>
      <c r="X7" s="42"/>
      <c r="Y7" s="42"/>
      <c r="Z7" s="42"/>
      <c r="AA7" s="42"/>
    </row>
    <row r="8" spans="1:27" ht="16.5" customHeight="1" x14ac:dyDescent="0.35">
      <c r="A8" s="38" t="s">
        <v>3</v>
      </c>
      <c r="B8" s="38"/>
      <c r="C8" s="38"/>
      <c r="D8" s="10" t="s">
        <v>49</v>
      </c>
      <c r="E8" s="10" t="s">
        <v>48</v>
      </c>
      <c r="F8" s="10" t="s">
        <v>49</v>
      </c>
      <c r="G8" s="10" t="s">
        <v>48</v>
      </c>
      <c r="H8" s="10" t="s">
        <v>49</v>
      </c>
      <c r="I8" s="10" t="s">
        <v>48</v>
      </c>
      <c r="J8" s="10" t="s">
        <v>49</v>
      </c>
      <c r="K8" s="10" t="s">
        <v>48</v>
      </c>
      <c r="L8" s="10" t="s">
        <v>49</v>
      </c>
      <c r="M8" s="10" t="s">
        <v>48</v>
      </c>
      <c r="N8" s="10" t="s">
        <v>49</v>
      </c>
      <c r="O8" s="10" t="s">
        <v>48</v>
      </c>
      <c r="P8" s="10" t="s">
        <v>49</v>
      </c>
      <c r="Q8" s="10" t="s">
        <v>48</v>
      </c>
      <c r="R8" s="10" t="s">
        <v>49</v>
      </c>
      <c r="S8" s="10" t="s">
        <v>48</v>
      </c>
      <c r="T8" s="10" t="s">
        <v>49</v>
      </c>
      <c r="U8" s="10" t="s">
        <v>48</v>
      </c>
      <c r="V8" s="10" t="s">
        <v>49</v>
      </c>
      <c r="W8" s="10" t="s">
        <v>48</v>
      </c>
      <c r="X8" s="10" t="s">
        <v>49</v>
      </c>
      <c r="Y8" s="10" t="s">
        <v>48</v>
      </c>
      <c r="Z8" s="10" t="s">
        <v>49</v>
      </c>
      <c r="AA8" s="10" t="s">
        <v>48</v>
      </c>
    </row>
    <row r="9" spans="1:27" ht="20.25" customHeight="1" x14ac:dyDescent="0.35">
      <c r="A9" s="1"/>
      <c r="B9" s="2" t="s">
        <v>4</v>
      </c>
      <c r="C9" s="2" t="s">
        <v>5</v>
      </c>
      <c r="D9" s="39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1"/>
    </row>
    <row r="10" spans="1:27" x14ac:dyDescent="0.35">
      <c r="A10" s="1">
        <v>1</v>
      </c>
      <c r="B10" s="3" t="s">
        <v>27</v>
      </c>
      <c r="C10" s="4" t="s">
        <v>21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x14ac:dyDescent="0.35">
      <c r="A11" s="1">
        <v>2</v>
      </c>
      <c r="B11" s="3" t="s">
        <v>25</v>
      </c>
      <c r="C11" s="4" t="s">
        <v>21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x14ac:dyDescent="0.35">
      <c r="A12" s="1">
        <v>3</v>
      </c>
      <c r="B12" s="3" t="s">
        <v>37</v>
      </c>
      <c r="C12" s="4" t="s">
        <v>38</v>
      </c>
      <c r="D12" s="5"/>
      <c r="E12" s="5"/>
      <c r="F12" s="5"/>
      <c r="G12" s="5"/>
      <c r="H12" s="5" t="s">
        <v>24</v>
      </c>
      <c r="I12" s="5"/>
      <c r="J12" s="5"/>
      <c r="K12" s="5"/>
      <c r="L12" s="5"/>
      <c r="M12" s="5"/>
      <c r="N12" s="5" t="s">
        <v>24</v>
      </c>
      <c r="O12" s="5"/>
      <c r="P12" s="5"/>
      <c r="Q12" s="5"/>
      <c r="R12" s="5"/>
      <c r="S12" s="5"/>
      <c r="T12" s="5"/>
      <c r="U12" s="5"/>
      <c r="V12" s="5"/>
      <c r="W12" s="5"/>
      <c r="X12" s="5" t="s">
        <v>24</v>
      </c>
      <c r="Y12" s="5"/>
      <c r="Z12" s="5"/>
      <c r="AA12" s="5"/>
    </row>
    <row r="13" spans="1:27" x14ac:dyDescent="0.35">
      <c r="A13" s="1">
        <v>4</v>
      </c>
      <c r="B13" s="3" t="s">
        <v>30</v>
      </c>
      <c r="C13" s="4" t="s">
        <v>39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x14ac:dyDescent="0.35">
      <c r="A14" s="1">
        <v>5</v>
      </c>
      <c r="B14" s="3" t="s">
        <v>28</v>
      </c>
      <c r="C14" s="4" t="s">
        <v>34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x14ac:dyDescent="0.35">
      <c r="A15" s="1">
        <v>6</v>
      </c>
      <c r="B15" s="3" t="s">
        <v>52</v>
      </c>
      <c r="C15" s="4" t="s">
        <v>21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x14ac:dyDescent="0.35">
      <c r="A16" s="1">
        <v>7</v>
      </c>
      <c r="B16" s="3" t="s">
        <v>32</v>
      </c>
      <c r="C16" s="4" t="s">
        <v>35</v>
      </c>
      <c r="D16" s="5"/>
      <c r="E16" s="5"/>
      <c r="F16" s="5"/>
      <c r="G16" s="5"/>
      <c r="H16" s="5"/>
      <c r="I16" s="5"/>
      <c r="J16" s="5" t="s">
        <v>24</v>
      </c>
      <c r="K16" s="5"/>
      <c r="L16" s="5"/>
      <c r="M16" s="5"/>
      <c r="N16" s="5"/>
      <c r="O16" s="5"/>
      <c r="P16" s="5"/>
      <c r="Q16" s="5"/>
      <c r="R16" s="5" t="s">
        <v>24</v>
      </c>
      <c r="S16" s="5"/>
      <c r="T16" s="5"/>
      <c r="U16" s="5"/>
      <c r="V16" s="5"/>
      <c r="W16" s="5"/>
      <c r="X16" s="5"/>
      <c r="Y16" s="5"/>
      <c r="Z16" s="5" t="s">
        <v>24</v>
      </c>
      <c r="AA16" s="5"/>
    </row>
    <row r="17" spans="1:27" x14ac:dyDescent="0.35">
      <c r="A17" s="1">
        <v>8</v>
      </c>
      <c r="B17" s="3" t="s">
        <v>33</v>
      </c>
      <c r="C17" s="4" t="s">
        <v>35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x14ac:dyDescent="0.35">
      <c r="A18" s="1">
        <v>9</v>
      </c>
      <c r="B18" s="3" t="s">
        <v>29</v>
      </c>
      <c r="C18" s="4" t="s">
        <v>36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x14ac:dyDescent="0.35">
      <c r="A19" s="1">
        <v>10</v>
      </c>
      <c r="B19" s="8" t="s">
        <v>26</v>
      </c>
      <c r="C19" s="4" t="s">
        <v>21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x14ac:dyDescent="0.35">
      <c r="A20" s="1">
        <v>11</v>
      </c>
      <c r="B20" s="7" t="s">
        <v>31</v>
      </c>
      <c r="C20" s="4" t="s">
        <v>36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x14ac:dyDescent="0.35">
      <c r="A21" s="1"/>
      <c r="B21" s="1"/>
      <c r="C21" s="1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x14ac:dyDescent="0.35">
      <c r="A22" s="43" t="s">
        <v>7</v>
      </c>
      <c r="B22" s="44"/>
      <c r="C22" s="45"/>
      <c r="D22" s="9">
        <f t="shared" ref="D22:O22" si="0">+COUNTA(D10:D21)</f>
        <v>0</v>
      </c>
      <c r="E22" s="9">
        <f t="shared" si="0"/>
        <v>0</v>
      </c>
      <c r="F22" s="9">
        <f t="shared" si="0"/>
        <v>0</v>
      </c>
      <c r="G22" s="9">
        <f t="shared" si="0"/>
        <v>0</v>
      </c>
      <c r="H22" s="9">
        <f t="shared" si="0"/>
        <v>1</v>
      </c>
      <c r="I22" s="9">
        <f t="shared" si="0"/>
        <v>0</v>
      </c>
      <c r="J22" s="9">
        <f t="shared" si="0"/>
        <v>1</v>
      </c>
      <c r="K22" s="9">
        <f t="shared" si="0"/>
        <v>0</v>
      </c>
      <c r="L22" s="9">
        <f t="shared" si="0"/>
        <v>0</v>
      </c>
      <c r="M22" s="9">
        <f t="shared" si="0"/>
        <v>0</v>
      </c>
      <c r="N22" s="9">
        <f t="shared" si="0"/>
        <v>1</v>
      </c>
      <c r="O22" s="9">
        <f t="shared" si="0"/>
        <v>0</v>
      </c>
      <c r="P22" s="9">
        <f>+COUNTA(P10:P21)</f>
        <v>0</v>
      </c>
      <c r="Q22" s="9">
        <f t="shared" ref="Q22:AA22" si="1">+COUNTA(Q10:Q21)</f>
        <v>0</v>
      </c>
      <c r="R22" s="9">
        <f t="shared" si="1"/>
        <v>1</v>
      </c>
      <c r="S22" s="9">
        <f t="shared" si="1"/>
        <v>0</v>
      </c>
      <c r="T22" s="9">
        <f t="shared" si="1"/>
        <v>0</v>
      </c>
      <c r="U22" s="9">
        <f t="shared" si="1"/>
        <v>0</v>
      </c>
      <c r="V22" s="9">
        <f t="shared" si="1"/>
        <v>0</v>
      </c>
      <c r="W22" s="9">
        <f t="shared" si="1"/>
        <v>0</v>
      </c>
      <c r="X22" s="9">
        <f t="shared" si="1"/>
        <v>1</v>
      </c>
      <c r="Y22" s="9">
        <f t="shared" si="1"/>
        <v>0</v>
      </c>
      <c r="Z22" s="9">
        <f t="shared" si="1"/>
        <v>1</v>
      </c>
      <c r="AA22" s="9">
        <f t="shared" si="1"/>
        <v>0</v>
      </c>
    </row>
    <row r="23" spans="1:27" x14ac:dyDescent="0.35">
      <c r="A23" s="43" t="s">
        <v>8</v>
      </c>
      <c r="B23" s="44"/>
      <c r="C23" s="45"/>
      <c r="D23" s="46" t="e">
        <f>(E22*100/D22)</f>
        <v>#DIV/0!</v>
      </c>
      <c r="E23" s="46"/>
      <c r="F23" s="46" t="e">
        <f>(G22*100/F22)</f>
        <v>#DIV/0!</v>
      </c>
      <c r="G23" s="46"/>
      <c r="H23" s="46">
        <f>(I22*100/H22)</f>
        <v>0</v>
      </c>
      <c r="I23" s="46"/>
      <c r="J23" s="46">
        <f>(K22*100/J22)</f>
        <v>0</v>
      </c>
      <c r="K23" s="46"/>
      <c r="L23" s="46" t="e">
        <f>(M22*100/L22)</f>
        <v>#DIV/0!</v>
      </c>
      <c r="M23" s="46"/>
      <c r="N23" s="46">
        <f>(O22*100/N22)</f>
        <v>0</v>
      </c>
      <c r="O23" s="46"/>
      <c r="P23" s="46" t="e">
        <f>(Q22*100/P22)</f>
        <v>#DIV/0!</v>
      </c>
      <c r="Q23" s="46"/>
      <c r="R23" s="46">
        <f>(S22*100/R22)</f>
        <v>0</v>
      </c>
      <c r="S23" s="46"/>
      <c r="T23" s="46" t="e">
        <f>(U22*100/T22)</f>
        <v>#DIV/0!</v>
      </c>
      <c r="U23" s="46"/>
      <c r="V23" s="46" t="e">
        <f>(W22*100/V22)</f>
        <v>#DIV/0!</v>
      </c>
      <c r="W23" s="46"/>
      <c r="X23" s="46">
        <f>(Y22*100/X22)</f>
        <v>0</v>
      </c>
      <c r="Y23" s="46"/>
      <c r="Z23" s="46">
        <f>(AA22*100/Z22)</f>
        <v>0</v>
      </c>
      <c r="AA23" s="46"/>
    </row>
    <row r="24" spans="1:27" x14ac:dyDescent="0.35">
      <c r="A24" s="38" t="s">
        <v>6</v>
      </c>
      <c r="B24" s="38"/>
      <c r="C24" s="38"/>
      <c r="D24" s="46" t="e">
        <f>SUM(D23:AA23)/12</f>
        <v>#DIV/0!</v>
      </c>
      <c r="E24" s="4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x14ac:dyDescent="0.35"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</sheetData>
  <mergeCells count="50">
    <mergeCell ref="Z23:AA23"/>
    <mergeCell ref="A24:C24"/>
    <mergeCell ref="D24:E24"/>
    <mergeCell ref="D4:AA5"/>
    <mergeCell ref="N23:O23"/>
    <mergeCell ref="P23:Q23"/>
    <mergeCell ref="R23:S23"/>
    <mergeCell ref="T23:U23"/>
    <mergeCell ref="V23:W23"/>
    <mergeCell ref="X23:Y23"/>
    <mergeCell ref="Z7:AA7"/>
    <mergeCell ref="A8:C8"/>
    <mergeCell ref="D9:AA9"/>
    <mergeCell ref="A22:C22"/>
    <mergeCell ref="A23:C23"/>
    <mergeCell ref="D23:E23"/>
    <mergeCell ref="V7:W7"/>
    <mergeCell ref="X7:Y7"/>
    <mergeCell ref="F23:G23"/>
    <mergeCell ref="H23:I23"/>
    <mergeCell ref="J23:K23"/>
    <mergeCell ref="L23:M23"/>
    <mergeCell ref="N7:O7"/>
    <mergeCell ref="L7:M7"/>
    <mergeCell ref="H6:I6"/>
    <mergeCell ref="J6:K6"/>
    <mergeCell ref="P7:Q7"/>
    <mergeCell ref="R7:S7"/>
    <mergeCell ref="T7:U7"/>
    <mergeCell ref="A7:C7"/>
    <mergeCell ref="D7:E7"/>
    <mergeCell ref="F7:G7"/>
    <mergeCell ref="H7:I7"/>
    <mergeCell ref="J7:K7"/>
    <mergeCell ref="N6:O6"/>
    <mergeCell ref="P6:Q6"/>
    <mergeCell ref="R6:S6"/>
    <mergeCell ref="B1:X2"/>
    <mergeCell ref="Y1:AA2"/>
    <mergeCell ref="A3:B3"/>
    <mergeCell ref="D3:AA3"/>
    <mergeCell ref="A4:C5"/>
    <mergeCell ref="T6:U6"/>
    <mergeCell ref="V6:W6"/>
    <mergeCell ref="X6:Y6"/>
    <mergeCell ref="Z6:AA6"/>
    <mergeCell ref="L6:M6"/>
    <mergeCell ref="A6:C6"/>
    <mergeCell ref="D6:E6"/>
    <mergeCell ref="F6:G6"/>
  </mergeCells>
  <pageMargins left="0.7" right="0.7" top="0.75" bottom="0.75" header="0.3" footer="0.3"/>
  <pageSetup paperSize="9" scale="40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174A-43D0-4D33-8304-944F2EC64B05}">
  <sheetPr>
    <pageSetUpPr fitToPage="1"/>
  </sheetPr>
  <dimension ref="A1:AA25"/>
  <sheetViews>
    <sheetView zoomScale="80" zoomScaleNormal="80" workbookViewId="0">
      <pane xSplit="3" ySplit="9" topLeftCell="D10" activePane="bottomRight" state="frozen"/>
      <selection pane="topRight" activeCell="D1" sqref="D1"/>
      <selection pane="bottomLeft" activeCell="A12" sqref="A12"/>
      <selection pane="bottomRight" activeCell="E28" sqref="E28"/>
    </sheetView>
  </sheetViews>
  <sheetFormatPr baseColWidth="10" defaultRowHeight="14.5" x14ac:dyDescent="0.35"/>
  <cols>
    <col min="1" max="1" width="3" bestFit="1" customWidth="1"/>
    <col min="2" max="2" width="43.7265625" customWidth="1"/>
    <col min="3" max="3" width="20" customWidth="1"/>
    <col min="4" max="27" width="10.7265625" customWidth="1"/>
    <col min="243" max="243" width="3" bestFit="1" customWidth="1"/>
    <col min="244" max="244" width="43.7265625" customWidth="1"/>
    <col min="245" max="245" width="20" customWidth="1"/>
    <col min="246" max="281" width="10.7265625" customWidth="1"/>
    <col min="499" max="499" width="3" bestFit="1" customWidth="1"/>
    <col min="500" max="500" width="43.7265625" customWidth="1"/>
    <col min="501" max="501" width="20" customWidth="1"/>
    <col min="502" max="537" width="10.7265625" customWidth="1"/>
    <col min="755" max="755" width="3" bestFit="1" customWidth="1"/>
    <col min="756" max="756" width="43.7265625" customWidth="1"/>
    <col min="757" max="757" width="20" customWidth="1"/>
    <col min="758" max="793" width="10.7265625" customWidth="1"/>
    <col min="1011" max="1011" width="3" bestFit="1" customWidth="1"/>
    <col min="1012" max="1012" width="43.7265625" customWidth="1"/>
    <col min="1013" max="1013" width="20" customWidth="1"/>
    <col min="1014" max="1049" width="10.7265625" customWidth="1"/>
    <col min="1267" max="1267" width="3" bestFit="1" customWidth="1"/>
    <col min="1268" max="1268" width="43.7265625" customWidth="1"/>
    <col min="1269" max="1269" width="20" customWidth="1"/>
    <col min="1270" max="1305" width="10.7265625" customWidth="1"/>
    <col min="1523" max="1523" width="3" bestFit="1" customWidth="1"/>
    <col min="1524" max="1524" width="43.7265625" customWidth="1"/>
    <col min="1525" max="1525" width="20" customWidth="1"/>
    <col min="1526" max="1561" width="10.7265625" customWidth="1"/>
    <col min="1779" max="1779" width="3" bestFit="1" customWidth="1"/>
    <col min="1780" max="1780" width="43.7265625" customWidth="1"/>
    <col min="1781" max="1781" width="20" customWidth="1"/>
    <col min="1782" max="1817" width="10.7265625" customWidth="1"/>
    <col min="2035" max="2035" width="3" bestFit="1" customWidth="1"/>
    <col min="2036" max="2036" width="43.7265625" customWidth="1"/>
    <col min="2037" max="2037" width="20" customWidth="1"/>
    <col min="2038" max="2073" width="10.7265625" customWidth="1"/>
    <col min="2291" max="2291" width="3" bestFit="1" customWidth="1"/>
    <col min="2292" max="2292" width="43.7265625" customWidth="1"/>
    <col min="2293" max="2293" width="20" customWidth="1"/>
    <col min="2294" max="2329" width="10.7265625" customWidth="1"/>
    <col min="2547" max="2547" width="3" bestFit="1" customWidth="1"/>
    <col min="2548" max="2548" width="43.7265625" customWidth="1"/>
    <col min="2549" max="2549" width="20" customWidth="1"/>
    <col min="2550" max="2585" width="10.7265625" customWidth="1"/>
    <col min="2803" max="2803" width="3" bestFit="1" customWidth="1"/>
    <col min="2804" max="2804" width="43.7265625" customWidth="1"/>
    <col min="2805" max="2805" width="20" customWidth="1"/>
    <col min="2806" max="2841" width="10.7265625" customWidth="1"/>
    <col min="3059" max="3059" width="3" bestFit="1" customWidth="1"/>
    <col min="3060" max="3060" width="43.7265625" customWidth="1"/>
    <col min="3061" max="3061" width="20" customWidth="1"/>
    <col min="3062" max="3097" width="10.7265625" customWidth="1"/>
    <col min="3315" max="3315" width="3" bestFit="1" customWidth="1"/>
    <col min="3316" max="3316" width="43.7265625" customWidth="1"/>
    <col min="3317" max="3317" width="20" customWidth="1"/>
    <col min="3318" max="3353" width="10.7265625" customWidth="1"/>
    <col min="3571" max="3571" width="3" bestFit="1" customWidth="1"/>
    <col min="3572" max="3572" width="43.7265625" customWidth="1"/>
    <col min="3573" max="3573" width="20" customWidth="1"/>
    <col min="3574" max="3609" width="10.7265625" customWidth="1"/>
    <col min="3827" max="3827" width="3" bestFit="1" customWidth="1"/>
    <col min="3828" max="3828" width="43.7265625" customWidth="1"/>
    <col min="3829" max="3829" width="20" customWidth="1"/>
    <col min="3830" max="3865" width="10.7265625" customWidth="1"/>
    <col min="4083" max="4083" width="3" bestFit="1" customWidth="1"/>
    <col min="4084" max="4084" width="43.7265625" customWidth="1"/>
    <col min="4085" max="4085" width="20" customWidth="1"/>
    <col min="4086" max="4121" width="10.7265625" customWidth="1"/>
    <col min="4339" max="4339" width="3" bestFit="1" customWidth="1"/>
    <col min="4340" max="4340" width="43.7265625" customWidth="1"/>
    <col min="4341" max="4341" width="20" customWidth="1"/>
    <col min="4342" max="4377" width="10.7265625" customWidth="1"/>
    <col min="4595" max="4595" width="3" bestFit="1" customWidth="1"/>
    <col min="4596" max="4596" width="43.7265625" customWidth="1"/>
    <col min="4597" max="4597" width="20" customWidth="1"/>
    <col min="4598" max="4633" width="10.7265625" customWidth="1"/>
    <col min="4851" max="4851" width="3" bestFit="1" customWidth="1"/>
    <col min="4852" max="4852" width="43.7265625" customWidth="1"/>
    <col min="4853" max="4853" width="20" customWidth="1"/>
    <col min="4854" max="4889" width="10.7265625" customWidth="1"/>
    <col min="5107" max="5107" width="3" bestFit="1" customWidth="1"/>
    <col min="5108" max="5108" width="43.7265625" customWidth="1"/>
    <col min="5109" max="5109" width="20" customWidth="1"/>
    <col min="5110" max="5145" width="10.7265625" customWidth="1"/>
    <col min="5363" max="5363" width="3" bestFit="1" customWidth="1"/>
    <col min="5364" max="5364" width="43.7265625" customWidth="1"/>
    <col min="5365" max="5365" width="20" customWidth="1"/>
    <col min="5366" max="5401" width="10.7265625" customWidth="1"/>
    <col min="5619" max="5619" width="3" bestFit="1" customWidth="1"/>
    <col min="5620" max="5620" width="43.7265625" customWidth="1"/>
    <col min="5621" max="5621" width="20" customWidth="1"/>
    <col min="5622" max="5657" width="10.7265625" customWidth="1"/>
    <col min="5875" max="5875" width="3" bestFit="1" customWidth="1"/>
    <col min="5876" max="5876" width="43.7265625" customWidth="1"/>
    <col min="5877" max="5877" width="20" customWidth="1"/>
    <col min="5878" max="5913" width="10.7265625" customWidth="1"/>
    <col min="6131" max="6131" width="3" bestFit="1" customWidth="1"/>
    <col min="6132" max="6132" width="43.7265625" customWidth="1"/>
    <col min="6133" max="6133" width="20" customWidth="1"/>
    <col min="6134" max="6169" width="10.7265625" customWidth="1"/>
    <col min="6387" max="6387" width="3" bestFit="1" customWidth="1"/>
    <col min="6388" max="6388" width="43.7265625" customWidth="1"/>
    <col min="6389" max="6389" width="20" customWidth="1"/>
    <col min="6390" max="6425" width="10.7265625" customWidth="1"/>
    <col min="6643" max="6643" width="3" bestFit="1" customWidth="1"/>
    <col min="6644" max="6644" width="43.7265625" customWidth="1"/>
    <col min="6645" max="6645" width="20" customWidth="1"/>
    <col min="6646" max="6681" width="10.7265625" customWidth="1"/>
    <col min="6899" max="6899" width="3" bestFit="1" customWidth="1"/>
    <col min="6900" max="6900" width="43.7265625" customWidth="1"/>
    <col min="6901" max="6901" width="20" customWidth="1"/>
    <col min="6902" max="6937" width="10.7265625" customWidth="1"/>
    <col min="7155" max="7155" width="3" bestFit="1" customWidth="1"/>
    <col min="7156" max="7156" width="43.7265625" customWidth="1"/>
    <col min="7157" max="7157" width="20" customWidth="1"/>
    <col min="7158" max="7193" width="10.7265625" customWidth="1"/>
    <col min="7411" max="7411" width="3" bestFit="1" customWidth="1"/>
    <col min="7412" max="7412" width="43.7265625" customWidth="1"/>
    <col min="7413" max="7413" width="20" customWidth="1"/>
    <col min="7414" max="7449" width="10.7265625" customWidth="1"/>
    <col min="7667" max="7667" width="3" bestFit="1" customWidth="1"/>
    <col min="7668" max="7668" width="43.7265625" customWidth="1"/>
    <col min="7669" max="7669" width="20" customWidth="1"/>
    <col min="7670" max="7705" width="10.7265625" customWidth="1"/>
    <col min="7923" max="7923" width="3" bestFit="1" customWidth="1"/>
    <col min="7924" max="7924" width="43.7265625" customWidth="1"/>
    <col min="7925" max="7925" width="20" customWidth="1"/>
    <col min="7926" max="7961" width="10.7265625" customWidth="1"/>
    <col min="8179" max="8179" width="3" bestFit="1" customWidth="1"/>
    <col min="8180" max="8180" width="43.7265625" customWidth="1"/>
    <col min="8181" max="8181" width="20" customWidth="1"/>
    <col min="8182" max="8217" width="10.7265625" customWidth="1"/>
    <col min="8435" max="8435" width="3" bestFit="1" customWidth="1"/>
    <col min="8436" max="8436" width="43.7265625" customWidth="1"/>
    <col min="8437" max="8437" width="20" customWidth="1"/>
    <col min="8438" max="8473" width="10.7265625" customWidth="1"/>
    <col min="8691" max="8691" width="3" bestFit="1" customWidth="1"/>
    <col min="8692" max="8692" width="43.7265625" customWidth="1"/>
    <col min="8693" max="8693" width="20" customWidth="1"/>
    <col min="8694" max="8729" width="10.7265625" customWidth="1"/>
    <col min="8947" max="8947" width="3" bestFit="1" customWidth="1"/>
    <col min="8948" max="8948" width="43.7265625" customWidth="1"/>
    <col min="8949" max="8949" width="20" customWidth="1"/>
    <col min="8950" max="8985" width="10.7265625" customWidth="1"/>
    <col min="9203" max="9203" width="3" bestFit="1" customWidth="1"/>
    <col min="9204" max="9204" width="43.7265625" customWidth="1"/>
    <col min="9205" max="9205" width="20" customWidth="1"/>
    <col min="9206" max="9241" width="10.7265625" customWidth="1"/>
    <col min="9459" max="9459" width="3" bestFit="1" customWidth="1"/>
    <col min="9460" max="9460" width="43.7265625" customWidth="1"/>
    <col min="9461" max="9461" width="20" customWidth="1"/>
    <col min="9462" max="9497" width="10.7265625" customWidth="1"/>
    <col min="9715" max="9715" width="3" bestFit="1" customWidth="1"/>
    <col min="9716" max="9716" width="43.7265625" customWidth="1"/>
    <col min="9717" max="9717" width="20" customWidth="1"/>
    <col min="9718" max="9753" width="10.7265625" customWidth="1"/>
    <col min="9971" max="9971" width="3" bestFit="1" customWidth="1"/>
    <col min="9972" max="9972" width="43.7265625" customWidth="1"/>
    <col min="9973" max="9973" width="20" customWidth="1"/>
    <col min="9974" max="10009" width="10.7265625" customWidth="1"/>
    <col min="10227" max="10227" width="3" bestFit="1" customWidth="1"/>
    <col min="10228" max="10228" width="43.7265625" customWidth="1"/>
    <col min="10229" max="10229" width="20" customWidth="1"/>
    <col min="10230" max="10265" width="10.7265625" customWidth="1"/>
    <col min="10483" max="10483" width="3" bestFit="1" customWidth="1"/>
    <col min="10484" max="10484" width="43.7265625" customWidth="1"/>
    <col min="10485" max="10485" width="20" customWidth="1"/>
    <col min="10486" max="10521" width="10.7265625" customWidth="1"/>
    <col min="10739" max="10739" width="3" bestFit="1" customWidth="1"/>
    <col min="10740" max="10740" width="43.7265625" customWidth="1"/>
    <col min="10741" max="10741" width="20" customWidth="1"/>
    <col min="10742" max="10777" width="10.7265625" customWidth="1"/>
    <col min="10995" max="10995" width="3" bestFit="1" customWidth="1"/>
    <col min="10996" max="10996" width="43.7265625" customWidth="1"/>
    <col min="10997" max="10997" width="20" customWidth="1"/>
    <col min="10998" max="11033" width="10.7265625" customWidth="1"/>
    <col min="11251" max="11251" width="3" bestFit="1" customWidth="1"/>
    <col min="11252" max="11252" width="43.7265625" customWidth="1"/>
    <col min="11253" max="11253" width="20" customWidth="1"/>
    <col min="11254" max="11289" width="10.7265625" customWidth="1"/>
    <col min="11507" max="11507" width="3" bestFit="1" customWidth="1"/>
    <col min="11508" max="11508" width="43.7265625" customWidth="1"/>
    <col min="11509" max="11509" width="20" customWidth="1"/>
    <col min="11510" max="11545" width="10.7265625" customWidth="1"/>
    <col min="11763" max="11763" width="3" bestFit="1" customWidth="1"/>
    <col min="11764" max="11764" width="43.7265625" customWidth="1"/>
    <col min="11765" max="11765" width="20" customWidth="1"/>
    <col min="11766" max="11801" width="10.7265625" customWidth="1"/>
    <col min="12019" max="12019" width="3" bestFit="1" customWidth="1"/>
    <col min="12020" max="12020" width="43.7265625" customWidth="1"/>
    <col min="12021" max="12021" width="20" customWidth="1"/>
    <col min="12022" max="12057" width="10.7265625" customWidth="1"/>
    <col min="12275" max="12275" width="3" bestFit="1" customWidth="1"/>
    <col min="12276" max="12276" width="43.7265625" customWidth="1"/>
    <col min="12277" max="12277" width="20" customWidth="1"/>
    <col min="12278" max="12313" width="10.7265625" customWidth="1"/>
    <col min="12531" max="12531" width="3" bestFit="1" customWidth="1"/>
    <col min="12532" max="12532" width="43.7265625" customWidth="1"/>
    <col min="12533" max="12533" width="20" customWidth="1"/>
    <col min="12534" max="12569" width="10.7265625" customWidth="1"/>
    <col min="12787" max="12787" width="3" bestFit="1" customWidth="1"/>
    <col min="12788" max="12788" width="43.7265625" customWidth="1"/>
    <col min="12789" max="12789" width="20" customWidth="1"/>
    <col min="12790" max="12825" width="10.7265625" customWidth="1"/>
    <col min="13043" max="13043" width="3" bestFit="1" customWidth="1"/>
    <col min="13044" max="13044" width="43.7265625" customWidth="1"/>
    <col min="13045" max="13045" width="20" customWidth="1"/>
    <col min="13046" max="13081" width="10.7265625" customWidth="1"/>
    <col min="13299" max="13299" width="3" bestFit="1" customWidth="1"/>
    <col min="13300" max="13300" width="43.7265625" customWidth="1"/>
    <col min="13301" max="13301" width="20" customWidth="1"/>
    <col min="13302" max="13337" width="10.7265625" customWidth="1"/>
    <col min="13555" max="13555" width="3" bestFit="1" customWidth="1"/>
    <col min="13556" max="13556" width="43.7265625" customWidth="1"/>
    <col min="13557" max="13557" width="20" customWidth="1"/>
    <col min="13558" max="13593" width="10.7265625" customWidth="1"/>
    <col min="13811" max="13811" width="3" bestFit="1" customWidth="1"/>
    <col min="13812" max="13812" width="43.7265625" customWidth="1"/>
    <col min="13813" max="13813" width="20" customWidth="1"/>
    <col min="13814" max="13849" width="10.7265625" customWidth="1"/>
    <col min="14067" max="14067" width="3" bestFit="1" customWidth="1"/>
    <col min="14068" max="14068" width="43.7265625" customWidth="1"/>
    <col min="14069" max="14069" width="20" customWidth="1"/>
    <col min="14070" max="14105" width="10.7265625" customWidth="1"/>
    <col min="14323" max="14323" width="3" bestFit="1" customWidth="1"/>
    <col min="14324" max="14324" width="43.7265625" customWidth="1"/>
    <col min="14325" max="14325" width="20" customWidth="1"/>
    <col min="14326" max="14361" width="10.7265625" customWidth="1"/>
    <col min="14579" max="14579" width="3" bestFit="1" customWidth="1"/>
    <col min="14580" max="14580" width="43.7265625" customWidth="1"/>
    <col min="14581" max="14581" width="20" customWidth="1"/>
    <col min="14582" max="14617" width="10.7265625" customWidth="1"/>
    <col min="14835" max="14835" width="3" bestFit="1" customWidth="1"/>
    <col min="14836" max="14836" width="43.7265625" customWidth="1"/>
    <col min="14837" max="14837" width="20" customWidth="1"/>
    <col min="14838" max="14873" width="10.7265625" customWidth="1"/>
    <col min="15091" max="15091" width="3" bestFit="1" customWidth="1"/>
    <col min="15092" max="15092" width="43.7265625" customWidth="1"/>
    <col min="15093" max="15093" width="20" customWidth="1"/>
    <col min="15094" max="15129" width="10.7265625" customWidth="1"/>
    <col min="15347" max="15347" width="3" bestFit="1" customWidth="1"/>
    <col min="15348" max="15348" width="43.7265625" customWidth="1"/>
    <col min="15349" max="15349" width="20" customWidth="1"/>
    <col min="15350" max="15385" width="10.7265625" customWidth="1"/>
    <col min="15603" max="15603" width="3" bestFit="1" customWidth="1"/>
    <col min="15604" max="15604" width="43.7265625" customWidth="1"/>
    <col min="15605" max="15605" width="20" customWidth="1"/>
    <col min="15606" max="15641" width="10.7265625" customWidth="1"/>
    <col min="15859" max="15859" width="3" bestFit="1" customWidth="1"/>
    <col min="15860" max="15860" width="43.7265625" customWidth="1"/>
    <col min="15861" max="15861" width="20" customWidth="1"/>
    <col min="15862" max="15897" width="10.7265625" customWidth="1"/>
    <col min="16115" max="16115" width="3" bestFit="1" customWidth="1"/>
    <col min="16116" max="16116" width="43.7265625" customWidth="1"/>
    <col min="16117" max="16117" width="20" customWidth="1"/>
    <col min="16118" max="16153" width="10.7265625" customWidth="1"/>
  </cols>
  <sheetData>
    <row r="1" spans="1:27" ht="21.75" customHeight="1" x14ac:dyDescent="0.35">
      <c r="A1" s="1"/>
      <c r="B1" s="24" t="s">
        <v>51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 t="s">
        <v>23</v>
      </c>
      <c r="Z1" s="26"/>
      <c r="AA1" s="26"/>
    </row>
    <row r="2" spans="1:27" ht="19.5" customHeight="1" x14ac:dyDescent="0.35">
      <c r="A2" s="1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6"/>
      <c r="Z2" s="26"/>
      <c r="AA2" s="26"/>
    </row>
    <row r="3" spans="1:27" ht="20.25" customHeight="1" x14ac:dyDescent="0.35">
      <c r="A3" s="26" t="s">
        <v>47</v>
      </c>
      <c r="B3" s="26"/>
      <c r="C3" s="1"/>
      <c r="D3" s="27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9"/>
    </row>
    <row r="4" spans="1:27" ht="14.5" customHeight="1" x14ac:dyDescent="0.35">
      <c r="A4" s="30" t="s">
        <v>0</v>
      </c>
      <c r="B4" s="31"/>
      <c r="C4" s="31"/>
      <c r="D4" s="32" t="s">
        <v>50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4"/>
    </row>
    <row r="5" spans="1:27" x14ac:dyDescent="0.35">
      <c r="A5" s="31"/>
      <c r="B5" s="31"/>
      <c r="C5" s="31"/>
      <c r="D5" s="35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7"/>
    </row>
    <row r="6" spans="1:27" ht="15" customHeight="1" x14ac:dyDescent="0.35">
      <c r="A6" s="38" t="s">
        <v>1</v>
      </c>
      <c r="B6" s="38"/>
      <c r="C6" s="38"/>
      <c r="D6" s="38" t="s">
        <v>9</v>
      </c>
      <c r="E6" s="38"/>
      <c r="F6" s="38" t="s">
        <v>10</v>
      </c>
      <c r="G6" s="38"/>
      <c r="H6" s="38" t="s">
        <v>11</v>
      </c>
      <c r="I6" s="38"/>
      <c r="J6" s="38" t="s">
        <v>12</v>
      </c>
      <c r="K6" s="38"/>
      <c r="L6" s="38" t="s">
        <v>13</v>
      </c>
      <c r="M6" s="38"/>
      <c r="N6" s="38" t="s">
        <v>14</v>
      </c>
      <c r="O6" s="38"/>
      <c r="P6" s="38" t="s">
        <v>15</v>
      </c>
      <c r="Q6" s="38"/>
      <c r="R6" s="38" t="s">
        <v>16</v>
      </c>
      <c r="S6" s="38"/>
      <c r="T6" s="38" t="s">
        <v>17</v>
      </c>
      <c r="U6" s="38"/>
      <c r="V6" s="38" t="s">
        <v>18</v>
      </c>
      <c r="W6" s="38"/>
      <c r="X6" s="38" t="s">
        <v>19</v>
      </c>
      <c r="Y6" s="38"/>
      <c r="Z6" s="38" t="s">
        <v>20</v>
      </c>
      <c r="AA6" s="38"/>
    </row>
    <row r="7" spans="1:27" x14ac:dyDescent="0.35">
      <c r="A7" s="38" t="s">
        <v>2</v>
      </c>
      <c r="B7" s="38"/>
      <c r="C7" s="38"/>
      <c r="D7" s="42"/>
      <c r="E7" s="42"/>
      <c r="F7" s="42">
        <v>4</v>
      </c>
      <c r="G7" s="42"/>
      <c r="H7" s="42">
        <v>4</v>
      </c>
      <c r="I7" s="42"/>
      <c r="J7" s="42">
        <v>4</v>
      </c>
      <c r="K7" s="42"/>
      <c r="L7" s="42">
        <v>4</v>
      </c>
      <c r="M7" s="42"/>
      <c r="N7" s="42">
        <v>4</v>
      </c>
      <c r="O7" s="42"/>
      <c r="P7" s="42">
        <v>4</v>
      </c>
      <c r="Q7" s="42"/>
      <c r="R7" s="42">
        <v>4</v>
      </c>
      <c r="S7" s="42"/>
      <c r="T7" s="42">
        <v>4</v>
      </c>
      <c r="U7" s="42"/>
      <c r="V7" s="42">
        <v>4</v>
      </c>
      <c r="W7" s="42"/>
      <c r="X7" s="42"/>
      <c r="Y7" s="42"/>
      <c r="Z7" s="42"/>
      <c r="AA7" s="42"/>
    </row>
    <row r="8" spans="1:27" ht="16.5" customHeight="1" x14ac:dyDescent="0.35">
      <c r="A8" s="38" t="s">
        <v>3</v>
      </c>
      <c r="B8" s="38"/>
      <c r="C8" s="38"/>
      <c r="D8" s="10" t="s">
        <v>49</v>
      </c>
      <c r="E8" s="10" t="s">
        <v>48</v>
      </c>
      <c r="F8" s="10" t="s">
        <v>49</v>
      </c>
      <c r="G8" s="10" t="s">
        <v>48</v>
      </c>
      <c r="H8" s="10" t="s">
        <v>49</v>
      </c>
      <c r="I8" s="10" t="s">
        <v>48</v>
      </c>
      <c r="J8" s="10" t="s">
        <v>49</v>
      </c>
      <c r="K8" s="10" t="s">
        <v>48</v>
      </c>
      <c r="L8" s="10" t="s">
        <v>49</v>
      </c>
      <c r="M8" s="10" t="s">
        <v>48</v>
      </c>
      <c r="N8" s="10" t="s">
        <v>49</v>
      </c>
      <c r="O8" s="10" t="s">
        <v>48</v>
      </c>
      <c r="P8" s="10" t="s">
        <v>49</v>
      </c>
      <c r="Q8" s="10" t="s">
        <v>48</v>
      </c>
      <c r="R8" s="10" t="s">
        <v>49</v>
      </c>
      <c r="S8" s="10" t="s">
        <v>48</v>
      </c>
      <c r="T8" s="10" t="s">
        <v>49</v>
      </c>
      <c r="U8" s="10" t="s">
        <v>48</v>
      </c>
      <c r="V8" s="10" t="s">
        <v>49</v>
      </c>
      <c r="W8" s="10" t="s">
        <v>48</v>
      </c>
      <c r="X8" s="10" t="s">
        <v>49</v>
      </c>
      <c r="Y8" s="10" t="s">
        <v>48</v>
      </c>
      <c r="Z8" s="10" t="s">
        <v>49</v>
      </c>
      <c r="AA8" s="10" t="s">
        <v>48</v>
      </c>
    </row>
    <row r="9" spans="1:27" ht="20.25" customHeight="1" x14ac:dyDescent="0.35">
      <c r="A9" s="1"/>
      <c r="B9" s="2" t="s">
        <v>4</v>
      </c>
      <c r="C9" s="2" t="s">
        <v>5</v>
      </c>
      <c r="D9" s="39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1"/>
    </row>
    <row r="10" spans="1:27" x14ac:dyDescent="0.35">
      <c r="A10" s="1">
        <v>1</v>
      </c>
      <c r="B10" s="3" t="s">
        <v>27</v>
      </c>
      <c r="C10" s="4" t="s">
        <v>21</v>
      </c>
      <c r="D10" s="5"/>
      <c r="E10" s="5"/>
      <c r="F10" s="5" t="s">
        <v>24</v>
      </c>
      <c r="G10" s="5" t="s">
        <v>24</v>
      </c>
      <c r="H10" s="5"/>
      <c r="I10" s="5"/>
      <c r="J10" s="5" t="s">
        <v>24</v>
      </c>
      <c r="K10" s="5" t="s">
        <v>24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x14ac:dyDescent="0.35">
      <c r="A11" s="1">
        <v>2</v>
      </c>
      <c r="B11" s="3" t="s">
        <v>25</v>
      </c>
      <c r="C11" s="4" t="s">
        <v>21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x14ac:dyDescent="0.35">
      <c r="A12" s="1">
        <v>3</v>
      </c>
      <c r="B12" s="3" t="s">
        <v>37</v>
      </c>
      <c r="C12" s="4" t="s">
        <v>38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24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x14ac:dyDescent="0.35">
      <c r="A13" s="1">
        <v>4</v>
      </c>
      <c r="B13" s="3" t="s">
        <v>30</v>
      </c>
      <c r="C13" s="4" t="s">
        <v>39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 t="s">
        <v>24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x14ac:dyDescent="0.35">
      <c r="A14" s="1">
        <v>5</v>
      </c>
      <c r="B14" s="3" t="s">
        <v>28</v>
      </c>
      <c r="C14" s="4" t="s">
        <v>34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 t="s">
        <v>24</v>
      </c>
      <c r="U14" s="5"/>
      <c r="V14" s="5"/>
      <c r="W14" s="5"/>
      <c r="X14" s="5"/>
      <c r="Y14" s="5"/>
      <c r="Z14" s="5"/>
      <c r="AA14" s="5"/>
    </row>
    <row r="15" spans="1:27" x14ac:dyDescent="0.35">
      <c r="A15" s="1">
        <v>6</v>
      </c>
      <c r="B15" s="3" t="s">
        <v>52</v>
      </c>
      <c r="C15" s="4" t="s">
        <v>21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x14ac:dyDescent="0.35">
      <c r="A16" s="1">
        <v>7</v>
      </c>
      <c r="B16" s="3" t="s">
        <v>32</v>
      </c>
      <c r="C16" s="4" t="s">
        <v>35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 t="s">
        <v>24</v>
      </c>
      <c r="S16" s="5"/>
      <c r="T16" s="5"/>
      <c r="U16" s="5"/>
      <c r="V16" s="5"/>
      <c r="W16" s="5"/>
      <c r="X16" s="5"/>
      <c r="Y16" s="5"/>
      <c r="Z16" s="5"/>
      <c r="AA16" s="5"/>
    </row>
    <row r="17" spans="1:27" x14ac:dyDescent="0.35">
      <c r="A17" s="1">
        <v>8</v>
      </c>
      <c r="B17" s="3" t="s">
        <v>33</v>
      </c>
      <c r="C17" s="4" t="s">
        <v>35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x14ac:dyDescent="0.35">
      <c r="A18" s="1">
        <v>9</v>
      </c>
      <c r="B18" s="3" t="s">
        <v>29</v>
      </c>
      <c r="C18" s="4" t="s">
        <v>36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x14ac:dyDescent="0.35">
      <c r="A19" s="1">
        <v>10</v>
      </c>
      <c r="B19" s="8" t="s">
        <v>26</v>
      </c>
      <c r="C19" s="4" t="s">
        <v>21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x14ac:dyDescent="0.35">
      <c r="A20" s="1">
        <v>11</v>
      </c>
      <c r="B20" s="7" t="s">
        <v>31</v>
      </c>
      <c r="C20" s="4" t="s">
        <v>36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x14ac:dyDescent="0.35">
      <c r="A21" s="1"/>
      <c r="B21" s="1"/>
      <c r="C21" s="1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x14ac:dyDescent="0.35">
      <c r="A22" s="43" t="s">
        <v>7</v>
      </c>
      <c r="B22" s="44"/>
      <c r="C22" s="45"/>
      <c r="D22" s="9">
        <f t="shared" ref="D22:O22" si="0">+COUNTA(D10:D21)</f>
        <v>0</v>
      </c>
      <c r="E22" s="9">
        <f t="shared" si="0"/>
        <v>0</v>
      </c>
      <c r="F22" s="9">
        <f t="shared" si="0"/>
        <v>1</v>
      </c>
      <c r="G22" s="9">
        <f t="shared" si="0"/>
        <v>1</v>
      </c>
      <c r="H22" s="9">
        <f t="shared" si="0"/>
        <v>0</v>
      </c>
      <c r="I22" s="9">
        <f t="shared" si="0"/>
        <v>0</v>
      </c>
      <c r="J22" s="9">
        <f t="shared" si="0"/>
        <v>1</v>
      </c>
      <c r="K22" s="9">
        <f t="shared" si="0"/>
        <v>1</v>
      </c>
      <c r="L22" s="9">
        <f t="shared" si="0"/>
        <v>0</v>
      </c>
      <c r="M22" s="9">
        <f t="shared" si="0"/>
        <v>0</v>
      </c>
      <c r="N22" s="9">
        <f t="shared" si="0"/>
        <v>1</v>
      </c>
      <c r="O22" s="9">
        <f t="shared" si="0"/>
        <v>0</v>
      </c>
      <c r="P22" s="9">
        <f>+COUNTA(P10:P21)</f>
        <v>1</v>
      </c>
      <c r="Q22" s="9">
        <f t="shared" ref="Q22:AA22" si="1">+COUNTA(Q10:Q21)</f>
        <v>0</v>
      </c>
      <c r="R22" s="9">
        <f t="shared" si="1"/>
        <v>1</v>
      </c>
      <c r="S22" s="9">
        <f t="shared" si="1"/>
        <v>0</v>
      </c>
      <c r="T22" s="9">
        <f t="shared" si="1"/>
        <v>1</v>
      </c>
      <c r="U22" s="9">
        <f t="shared" si="1"/>
        <v>0</v>
      </c>
      <c r="V22" s="9">
        <f t="shared" si="1"/>
        <v>0</v>
      </c>
      <c r="W22" s="9">
        <f t="shared" si="1"/>
        <v>0</v>
      </c>
      <c r="X22" s="9">
        <f t="shared" si="1"/>
        <v>0</v>
      </c>
      <c r="Y22" s="9">
        <f t="shared" si="1"/>
        <v>0</v>
      </c>
      <c r="Z22" s="9">
        <f t="shared" si="1"/>
        <v>0</v>
      </c>
      <c r="AA22" s="9">
        <f t="shared" si="1"/>
        <v>0</v>
      </c>
    </row>
    <row r="23" spans="1:27" x14ac:dyDescent="0.35">
      <c r="A23" s="43" t="s">
        <v>8</v>
      </c>
      <c r="B23" s="44"/>
      <c r="C23" s="45"/>
      <c r="D23" s="46" t="e">
        <f>(E22*100/D22)</f>
        <v>#DIV/0!</v>
      </c>
      <c r="E23" s="46"/>
      <c r="F23" s="46">
        <f>(G22*100/F22)</f>
        <v>100</v>
      </c>
      <c r="G23" s="46"/>
      <c r="H23" s="46" t="e">
        <f>(I22*100/H22)</f>
        <v>#DIV/0!</v>
      </c>
      <c r="I23" s="46"/>
      <c r="J23" s="46">
        <f>(K22*100/J22)</f>
        <v>100</v>
      </c>
      <c r="K23" s="46"/>
      <c r="L23" s="46" t="e">
        <f>(M22*100/L22)</f>
        <v>#DIV/0!</v>
      </c>
      <c r="M23" s="46"/>
      <c r="N23" s="46">
        <f>(O22*100/N22)</f>
        <v>0</v>
      </c>
      <c r="O23" s="46"/>
      <c r="P23" s="46">
        <f>(Q22*100/P22)</f>
        <v>0</v>
      </c>
      <c r="Q23" s="46"/>
      <c r="R23" s="46">
        <f>(S22*100/R22)</f>
        <v>0</v>
      </c>
      <c r="S23" s="46"/>
      <c r="T23" s="46">
        <f>(U22*100/T22)</f>
        <v>0</v>
      </c>
      <c r="U23" s="46"/>
      <c r="V23" s="46" t="e">
        <f>(W22*100/V22)</f>
        <v>#DIV/0!</v>
      </c>
      <c r="W23" s="46"/>
      <c r="X23" s="46" t="e">
        <f>(Y22*100/X22)</f>
        <v>#DIV/0!</v>
      </c>
      <c r="Y23" s="46"/>
      <c r="Z23" s="46" t="e">
        <f>(AA22*100/Z22)</f>
        <v>#DIV/0!</v>
      </c>
      <c r="AA23" s="46"/>
    </row>
    <row r="24" spans="1:27" x14ac:dyDescent="0.35">
      <c r="A24" s="38" t="s">
        <v>6</v>
      </c>
      <c r="B24" s="38"/>
      <c r="C24" s="38"/>
      <c r="D24" s="46" t="e">
        <f>SUM(D23:AA23)/12</f>
        <v>#DIV/0!</v>
      </c>
      <c r="E24" s="4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x14ac:dyDescent="0.35"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</sheetData>
  <mergeCells count="50">
    <mergeCell ref="X23:Y23"/>
    <mergeCell ref="Z23:AA23"/>
    <mergeCell ref="A24:C24"/>
    <mergeCell ref="D24:E24"/>
    <mergeCell ref="L23:M23"/>
    <mergeCell ref="N23:O23"/>
    <mergeCell ref="P23:Q23"/>
    <mergeCell ref="R23:S23"/>
    <mergeCell ref="T23:U23"/>
    <mergeCell ref="V23:W23"/>
    <mergeCell ref="J23:K23"/>
    <mergeCell ref="A22:C22"/>
    <mergeCell ref="A23:C23"/>
    <mergeCell ref="D23:E23"/>
    <mergeCell ref="F23:G23"/>
    <mergeCell ref="H23:I23"/>
    <mergeCell ref="T7:U7"/>
    <mergeCell ref="V7:W7"/>
    <mergeCell ref="X7:Y7"/>
    <mergeCell ref="Z7:AA7"/>
    <mergeCell ref="A8:C8"/>
    <mergeCell ref="D9:AA9"/>
    <mergeCell ref="Z6:AA6"/>
    <mergeCell ref="A7:C7"/>
    <mergeCell ref="D7:E7"/>
    <mergeCell ref="F7:G7"/>
    <mergeCell ref="H7:I7"/>
    <mergeCell ref="J7:K7"/>
    <mergeCell ref="L7:M7"/>
    <mergeCell ref="N7:O7"/>
    <mergeCell ref="P7:Q7"/>
    <mergeCell ref="R7:S7"/>
    <mergeCell ref="N6:O6"/>
    <mergeCell ref="P6:Q6"/>
    <mergeCell ref="R6:S6"/>
    <mergeCell ref="T6:U6"/>
    <mergeCell ref="V6:W6"/>
    <mergeCell ref="X6:Y6"/>
    <mergeCell ref="A6:C6"/>
    <mergeCell ref="D6:E6"/>
    <mergeCell ref="F6:G6"/>
    <mergeCell ref="H6:I6"/>
    <mergeCell ref="J6:K6"/>
    <mergeCell ref="L6:M6"/>
    <mergeCell ref="B1:X2"/>
    <mergeCell ref="Y1:AA2"/>
    <mergeCell ref="A3:B3"/>
    <mergeCell ref="D3:AA3"/>
    <mergeCell ref="A4:C5"/>
    <mergeCell ref="D4:AA5"/>
  </mergeCells>
  <pageMargins left="0.7" right="0.7" top="0.75" bottom="0.75" header="0.3" footer="0.3"/>
  <pageSetup paperSize="9" scale="40" fitToHeight="0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5"/>
  <sheetViews>
    <sheetView zoomScale="80" zoomScaleNormal="80" workbookViewId="0">
      <pane xSplit="3" ySplit="9" topLeftCell="D10" activePane="bottomRight" state="frozen"/>
      <selection pane="topRight" activeCell="D1" sqref="D1"/>
      <selection pane="bottomLeft" activeCell="A12" sqref="A12"/>
      <selection pane="bottomRight" activeCell="AA21" sqref="A1:AA21"/>
    </sheetView>
  </sheetViews>
  <sheetFormatPr baseColWidth="10" defaultRowHeight="14.5" x14ac:dyDescent="0.35"/>
  <cols>
    <col min="1" max="1" width="3" bestFit="1" customWidth="1"/>
    <col min="2" max="2" width="43.7265625" customWidth="1"/>
    <col min="3" max="3" width="20" customWidth="1"/>
    <col min="4" max="27" width="10.7265625" customWidth="1"/>
    <col min="243" max="243" width="3" bestFit="1" customWidth="1"/>
    <col min="244" max="244" width="43.7265625" customWidth="1"/>
    <col min="245" max="245" width="20" customWidth="1"/>
    <col min="246" max="281" width="10.7265625" customWidth="1"/>
    <col min="499" max="499" width="3" bestFit="1" customWidth="1"/>
    <col min="500" max="500" width="43.7265625" customWidth="1"/>
    <col min="501" max="501" width="20" customWidth="1"/>
    <col min="502" max="537" width="10.7265625" customWidth="1"/>
    <col min="755" max="755" width="3" bestFit="1" customWidth="1"/>
    <col min="756" max="756" width="43.7265625" customWidth="1"/>
    <col min="757" max="757" width="20" customWidth="1"/>
    <col min="758" max="793" width="10.7265625" customWidth="1"/>
    <col min="1011" max="1011" width="3" bestFit="1" customWidth="1"/>
    <col min="1012" max="1012" width="43.7265625" customWidth="1"/>
    <col min="1013" max="1013" width="20" customWidth="1"/>
    <col min="1014" max="1049" width="10.7265625" customWidth="1"/>
    <col min="1267" max="1267" width="3" bestFit="1" customWidth="1"/>
    <col min="1268" max="1268" width="43.7265625" customWidth="1"/>
    <col min="1269" max="1269" width="20" customWidth="1"/>
    <col min="1270" max="1305" width="10.7265625" customWidth="1"/>
    <col min="1523" max="1523" width="3" bestFit="1" customWidth="1"/>
    <col min="1524" max="1524" width="43.7265625" customWidth="1"/>
    <col min="1525" max="1525" width="20" customWidth="1"/>
    <col min="1526" max="1561" width="10.7265625" customWidth="1"/>
    <col min="1779" max="1779" width="3" bestFit="1" customWidth="1"/>
    <col min="1780" max="1780" width="43.7265625" customWidth="1"/>
    <col min="1781" max="1781" width="20" customWidth="1"/>
    <col min="1782" max="1817" width="10.7265625" customWidth="1"/>
    <col min="2035" max="2035" width="3" bestFit="1" customWidth="1"/>
    <col min="2036" max="2036" width="43.7265625" customWidth="1"/>
    <col min="2037" max="2037" width="20" customWidth="1"/>
    <col min="2038" max="2073" width="10.7265625" customWidth="1"/>
    <col min="2291" max="2291" width="3" bestFit="1" customWidth="1"/>
    <col min="2292" max="2292" width="43.7265625" customWidth="1"/>
    <col min="2293" max="2293" width="20" customWidth="1"/>
    <col min="2294" max="2329" width="10.7265625" customWidth="1"/>
    <col min="2547" max="2547" width="3" bestFit="1" customWidth="1"/>
    <col min="2548" max="2548" width="43.7265625" customWidth="1"/>
    <col min="2549" max="2549" width="20" customWidth="1"/>
    <col min="2550" max="2585" width="10.7265625" customWidth="1"/>
    <col min="2803" max="2803" width="3" bestFit="1" customWidth="1"/>
    <col min="2804" max="2804" width="43.7265625" customWidth="1"/>
    <col min="2805" max="2805" width="20" customWidth="1"/>
    <col min="2806" max="2841" width="10.7265625" customWidth="1"/>
    <col min="3059" max="3059" width="3" bestFit="1" customWidth="1"/>
    <col min="3060" max="3060" width="43.7265625" customWidth="1"/>
    <col min="3061" max="3061" width="20" customWidth="1"/>
    <col min="3062" max="3097" width="10.7265625" customWidth="1"/>
    <col min="3315" max="3315" width="3" bestFit="1" customWidth="1"/>
    <col min="3316" max="3316" width="43.7265625" customWidth="1"/>
    <col min="3317" max="3317" width="20" customWidth="1"/>
    <col min="3318" max="3353" width="10.7265625" customWidth="1"/>
    <col min="3571" max="3571" width="3" bestFit="1" customWidth="1"/>
    <col min="3572" max="3572" width="43.7265625" customWidth="1"/>
    <col min="3573" max="3573" width="20" customWidth="1"/>
    <col min="3574" max="3609" width="10.7265625" customWidth="1"/>
    <col min="3827" max="3827" width="3" bestFit="1" customWidth="1"/>
    <col min="3828" max="3828" width="43.7265625" customWidth="1"/>
    <col min="3829" max="3829" width="20" customWidth="1"/>
    <col min="3830" max="3865" width="10.7265625" customWidth="1"/>
    <col min="4083" max="4083" width="3" bestFit="1" customWidth="1"/>
    <col min="4084" max="4084" width="43.7265625" customWidth="1"/>
    <col min="4085" max="4085" width="20" customWidth="1"/>
    <col min="4086" max="4121" width="10.7265625" customWidth="1"/>
    <col min="4339" max="4339" width="3" bestFit="1" customWidth="1"/>
    <col min="4340" max="4340" width="43.7265625" customWidth="1"/>
    <col min="4341" max="4341" width="20" customWidth="1"/>
    <col min="4342" max="4377" width="10.7265625" customWidth="1"/>
    <col min="4595" max="4595" width="3" bestFit="1" customWidth="1"/>
    <col min="4596" max="4596" width="43.7265625" customWidth="1"/>
    <col min="4597" max="4597" width="20" customWidth="1"/>
    <col min="4598" max="4633" width="10.7265625" customWidth="1"/>
    <col min="4851" max="4851" width="3" bestFit="1" customWidth="1"/>
    <col min="4852" max="4852" width="43.7265625" customWidth="1"/>
    <col min="4853" max="4853" width="20" customWidth="1"/>
    <col min="4854" max="4889" width="10.7265625" customWidth="1"/>
    <col min="5107" max="5107" width="3" bestFit="1" customWidth="1"/>
    <col min="5108" max="5108" width="43.7265625" customWidth="1"/>
    <col min="5109" max="5109" width="20" customWidth="1"/>
    <col min="5110" max="5145" width="10.7265625" customWidth="1"/>
    <col min="5363" max="5363" width="3" bestFit="1" customWidth="1"/>
    <col min="5364" max="5364" width="43.7265625" customWidth="1"/>
    <col min="5365" max="5365" width="20" customWidth="1"/>
    <col min="5366" max="5401" width="10.7265625" customWidth="1"/>
    <col min="5619" max="5619" width="3" bestFit="1" customWidth="1"/>
    <col min="5620" max="5620" width="43.7265625" customWidth="1"/>
    <col min="5621" max="5621" width="20" customWidth="1"/>
    <col min="5622" max="5657" width="10.7265625" customWidth="1"/>
    <col min="5875" max="5875" width="3" bestFit="1" customWidth="1"/>
    <col min="5876" max="5876" width="43.7265625" customWidth="1"/>
    <col min="5877" max="5877" width="20" customWidth="1"/>
    <col min="5878" max="5913" width="10.7265625" customWidth="1"/>
    <col min="6131" max="6131" width="3" bestFit="1" customWidth="1"/>
    <col min="6132" max="6132" width="43.7265625" customWidth="1"/>
    <col min="6133" max="6133" width="20" customWidth="1"/>
    <col min="6134" max="6169" width="10.7265625" customWidth="1"/>
    <col min="6387" max="6387" width="3" bestFit="1" customWidth="1"/>
    <col min="6388" max="6388" width="43.7265625" customWidth="1"/>
    <col min="6389" max="6389" width="20" customWidth="1"/>
    <col min="6390" max="6425" width="10.7265625" customWidth="1"/>
    <col min="6643" max="6643" width="3" bestFit="1" customWidth="1"/>
    <col min="6644" max="6644" width="43.7265625" customWidth="1"/>
    <col min="6645" max="6645" width="20" customWidth="1"/>
    <col min="6646" max="6681" width="10.7265625" customWidth="1"/>
    <col min="6899" max="6899" width="3" bestFit="1" customWidth="1"/>
    <col min="6900" max="6900" width="43.7265625" customWidth="1"/>
    <col min="6901" max="6901" width="20" customWidth="1"/>
    <col min="6902" max="6937" width="10.7265625" customWidth="1"/>
    <col min="7155" max="7155" width="3" bestFit="1" customWidth="1"/>
    <col min="7156" max="7156" width="43.7265625" customWidth="1"/>
    <col min="7157" max="7157" width="20" customWidth="1"/>
    <col min="7158" max="7193" width="10.7265625" customWidth="1"/>
    <col min="7411" max="7411" width="3" bestFit="1" customWidth="1"/>
    <col min="7412" max="7412" width="43.7265625" customWidth="1"/>
    <col min="7413" max="7413" width="20" customWidth="1"/>
    <col min="7414" max="7449" width="10.7265625" customWidth="1"/>
    <col min="7667" max="7667" width="3" bestFit="1" customWidth="1"/>
    <col min="7668" max="7668" width="43.7265625" customWidth="1"/>
    <col min="7669" max="7669" width="20" customWidth="1"/>
    <col min="7670" max="7705" width="10.7265625" customWidth="1"/>
    <col min="7923" max="7923" width="3" bestFit="1" customWidth="1"/>
    <col min="7924" max="7924" width="43.7265625" customWidth="1"/>
    <col min="7925" max="7925" width="20" customWidth="1"/>
    <col min="7926" max="7961" width="10.7265625" customWidth="1"/>
    <col min="8179" max="8179" width="3" bestFit="1" customWidth="1"/>
    <col min="8180" max="8180" width="43.7265625" customWidth="1"/>
    <col min="8181" max="8181" width="20" customWidth="1"/>
    <col min="8182" max="8217" width="10.7265625" customWidth="1"/>
    <col min="8435" max="8435" width="3" bestFit="1" customWidth="1"/>
    <col min="8436" max="8436" width="43.7265625" customWidth="1"/>
    <col min="8437" max="8437" width="20" customWidth="1"/>
    <col min="8438" max="8473" width="10.7265625" customWidth="1"/>
    <col min="8691" max="8691" width="3" bestFit="1" customWidth="1"/>
    <col min="8692" max="8692" width="43.7265625" customWidth="1"/>
    <col min="8693" max="8693" width="20" customWidth="1"/>
    <col min="8694" max="8729" width="10.7265625" customWidth="1"/>
    <col min="8947" max="8947" width="3" bestFit="1" customWidth="1"/>
    <col min="8948" max="8948" width="43.7265625" customWidth="1"/>
    <col min="8949" max="8949" width="20" customWidth="1"/>
    <col min="8950" max="8985" width="10.7265625" customWidth="1"/>
    <col min="9203" max="9203" width="3" bestFit="1" customWidth="1"/>
    <col min="9204" max="9204" width="43.7265625" customWidth="1"/>
    <col min="9205" max="9205" width="20" customWidth="1"/>
    <col min="9206" max="9241" width="10.7265625" customWidth="1"/>
    <col min="9459" max="9459" width="3" bestFit="1" customWidth="1"/>
    <col min="9460" max="9460" width="43.7265625" customWidth="1"/>
    <col min="9461" max="9461" width="20" customWidth="1"/>
    <col min="9462" max="9497" width="10.7265625" customWidth="1"/>
    <col min="9715" max="9715" width="3" bestFit="1" customWidth="1"/>
    <col min="9716" max="9716" width="43.7265625" customWidth="1"/>
    <col min="9717" max="9717" width="20" customWidth="1"/>
    <col min="9718" max="9753" width="10.7265625" customWidth="1"/>
    <col min="9971" max="9971" width="3" bestFit="1" customWidth="1"/>
    <col min="9972" max="9972" width="43.7265625" customWidth="1"/>
    <col min="9973" max="9973" width="20" customWidth="1"/>
    <col min="9974" max="10009" width="10.7265625" customWidth="1"/>
    <col min="10227" max="10227" width="3" bestFit="1" customWidth="1"/>
    <col min="10228" max="10228" width="43.7265625" customWidth="1"/>
    <col min="10229" max="10229" width="20" customWidth="1"/>
    <col min="10230" max="10265" width="10.7265625" customWidth="1"/>
    <col min="10483" max="10483" width="3" bestFit="1" customWidth="1"/>
    <col min="10484" max="10484" width="43.7265625" customWidth="1"/>
    <col min="10485" max="10485" width="20" customWidth="1"/>
    <col min="10486" max="10521" width="10.7265625" customWidth="1"/>
    <col min="10739" max="10739" width="3" bestFit="1" customWidth="1"/>
    <col min="10740" max="10740" width="43.7265625" customWidth="1"/>
    <col min="10741" max="10741" width="20" customWidth="1"/>
    <col min="10742" max="10777" width="10.7265625" customWidth="1"/>
    <col min="10995" max="10995" width="3" bestFit="1" customWidth="1"/>
    <col min="10996" max="10996" width="43.7265625" customWidth="1"/>
    <col min="10997" max="10997" width="20" customWidth="1"/>
    <col min="10998" max="11033" width="10.7265625" customWidth="1"/>
    <col min="11251" max="11251" width="3" bestFit="1" customWidth="1"/>
    <col min="11252" max="11252" width="43.7265625" customWidth="1"/>
    <col min="11253" max="11253" width="20" customWidth="1"/>
    <col min="11254" max="11289" width="10.7265625" customWidth="1"/>
    <col min="11507" max="11507" width="3" bestFit="1" customWidth="1"/>
    <col min="11508" max="11508" width="43.7265625" customWidth="1"/>
    <col min="11509" max="11509" width="20" customWidth="1"/>
    <col min="11510" max="11545" width="10.7265625" customWidth="1"/>
    <col min="11763" max="11763" width="3" bestFit="1" customWidth="1"/>
    <col min="11764" max="11764" width="43.7265625" customWidth="1"/>
    <col min="11765" max="11765" width="20" customWidth="1"/>
    <col min="11766" max="11801" width="10.7265625" customWidth="1"/>
    <col min="12019" max="12019" width="3" bestFit="1" customWidth="1"/>
    <col min="12020" max="12020" width="43.7265625" customWidth="1"/>
    <col min="12021" max="12021" width="20" customWidth="1"/>
    <col min="12022" max="12057" width="10.7265625" customWidth="1"/>
    <col min="12275" max="12275" width="3" bestFit="1" customWidth="1"/>
    <col min="12276" max="12276" width="43.7265625" customWidth="1"/>
    <col min="12277" max="12277" width="20" customWidth="1"/>
    <col min="12278" max="12313" width="10.7265625" customWidth="1"/>
    <col min="12531" max="12531" width="3" bestFit="1" customWidth="1"/>
    <col min="12532" max="12532" width="43.7265625" customWidth="1"/>
    <col min="12533" max="12533" width="20" customWidth="1"/>
    <col min="12534" max="12569" width="10.7265625" customWidth="1"/>
    <col min="12787" max="12787" width="3" bestFit="1" customWidth="1"/>
    <col min="12788" max="12788" width="43.7265625" customWidth="1"/>
    <col min="12789" max="12789" width="20" customWidth="1"/>
    <col min="12790" max="12825" width="10.7265625" customWidth="1"/>
    <col min="13043" max="13043" width="3" bestFit="1" customWidth="1"/>
    <col min="13044" max="13044" width="43.7265625" customWidth="1"/>
    <col min="13045" max="13045" width="20" customWidth="1"/>
    <col min="13046" max="13081" width="10.7265625" customWidth="1"/>
    <col min="13299" max="13299" width="3" bestFit="1" customWidth="1"/>
    <col min="13300" max="13300" width="43.7265625" customWidth="1"/>
    <col min="13301" max="13301" width="20" customWidth="1"/>
    <col min="13302" max="13337" width="10.7265625" customWidth="1"/>
    <col min="13555" max="13555" width="3" bestFit="1" customWidth="1"/>
    <col min="13556" max="13556" width="43.7265625" customWidth="1"/>
    <col min="13557" max="13557" width="20" customWidth="1"/>
    <col min="13558" max="13593" width="10.7265625" customWidth="1"/>
    <col min="13811" max="13811" width="3" bestFit="1" customWidth="1"/>
    <col min="13812" max="13812" width="43.7265625" customWidth="1"/>
    <col min="13813" max="13813" width="20" customWidth="1"/>
    <col min="13814" max="13849" width="10.7265625" customWidth="1"/>
    <col min="14067" max="14067" width="3" bestFit="1" customWidth="1"/>
    <col min="14068" max="14068" width="43.7265625" customWidth="1"/>
    <col min="14069" max="14069" width="20" customWidth="1"/>
    <col min="14070" max="14105" width="10.7265625" customWidth="1"/>
    <col min="14323" max="14323" width="3" bestFit="1" customWidth="1"/>
    <col min="14324" max="14324" width="43.7265625" customWidth="1"/>
    <col min="14325" max="14325" width="20" customWidth="1"/>
    <col min="14326" max="14361" width="10.7265625" customWidth="1"/>
    <col min="14579" max="14579" width="3" bestFit="1" customWidth="1"/>
    <col min="14580" max="14580" width="43.7265625" customWidth="1"/>
    <col min="14581" max="14581" width="20" customWidth="1"/>
    <col min="14582" max="14617" width="10.7265625" customWidth="1"/>
    <col min="14835" max="14835" width="3" bestFit="1" customWidth="1"/>
    <col min="14836" max="14836" width="43.7265625" customWidth="1"/>
    <col min="14837" max="14837" width="20" customWidth="1"/>
    <col min="14838" max="14873" width="10.7265625" customWidth="1"/>
    <col min="15091" max="15091" width="3" bestFit="1" customWidth="1"/>
    <col min="15092" max="15092" width="43.7265625" customWidth="1"/>
    <col min="15093" max="15093" width="20" customWidth="1"/>
    <col min="15094" max="15129" width="10.7265625" customWidth="1"/>
    <col min="15347" max="15347" width="3" bestFit="1" customWidth="1"/>
    <col min="15348" max="15348" width="43.7265625" customWidth="1"/>
    <col min="15349" max="15349" width="20" customWidth="1"/>
    <col min="15350" max="15385" width="10.7265625" customWidth="1"/>
    <col min="15603" max="15603" width="3" bestFit="1" customWidth="1"/>
    <col min="15604" max="15604" width="43.7265625" customWidth="1"/>
    <col min="15605" max="15605" width="20" customWidth="1"/>
    <col min="15606" max="15641" width="10.7265625" customWidth="1"/>
    <col min="15859" max="15859" width="3" bestFit="1" customWidth="1"/>
    <col min="15860" max="15860" width="43.7265625" customWidth="1"/>
    <col min="15861" max="15861" width="20" customWidth="1"/>
    <col min="15862" max="15897" width="10.7265625" customWidth="1"/>
    <col min="16115" max="16115" width="3" bestFit="1" customWidth="1"/>
    <col min="16116" max="16116" width="43.7265625" customWidth="1"/>
    <col min="16117" max="16117" width="20" customWidth="1"/>
    <col min="16118" max="16153" width="10.7265625" customWidth="1"/>
  </cols>
  <sheetData>
    <row r="1" spans="1:27" ht="21.75" customHeight="1" x14ac:dyDescent="0.35">
      <c r="A1" s="1"/>
      <c r="B1" s="24" t="s">
        <v>22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 t="s">
        <v>23</v>
      </c>
      <c r="Z1" s="26"/>
      <c r="AA1" s="26"/>
    </row>
    <row r="2" spans="1:27" ht="19.5" customHeight="1" x14ac:dyDescent="0.35">
      <c r="A2" s="1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6"/>
      <c r="Z2" s="26"/>
      <c r="AA2" s="26"/>
    </row>
    <row r="3" spans="1:27" ht="20.25" customHeight="1" x14ac:dyDescent="0.35">
      <c r="A3" s="26" t="s">
        <v>47</v>
      </c>
      <c r="B3" s="26"/>
      <c r="C3" s="1"/>
      <c r="D3" s="27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9"/>
    </row>
    <row r="4" spans="1:27" ht="14.5" customHeight="1" x14ac:dyDescent="0.35">
      <c r="A4" s="30" t="s">
        <v>0</v>
      </c>
      <c r="B4" s="31"/>
      <c r="C4" s="31"/>
      <c r="D4" s="47"/>
      <c r="E4" s="47"/>
      <c r="F4" s="47" t="s">
        <v>40</v>
      </c>
      <c r="G4" s="47"/>
      <c r="H4" s="47" t="s">
        <v>43</v>
      </c>
      <c r="I4" s="47"/>
      <c r="J4" s="47" t="s">
        <v>41</v>
      </c>
      <c r="K4" s="47"/>
      <c r="L4" s="47" t="s">
        <v>40</v>
      </c>
      <c r="M4" s="47"/>
      <c r="N4" s="47" t="s">
        <v>39</v>
      </c>
      <c r="O4" s="47"/>
      <c r="P4" s="47" t="s">
        <v>44</v>
      </c>
      <c r="Q4" s="47"/>
      <c r="R4" s="47" t="s">
        <v>42</v>
      </c>
      <c r="S4" s="47"/>
      <c r="T4" s="47" t="s">
        <v>40</v>
      </c>
      <c r="U4" s="47"/>
      <c r="V4" s="47" t="s">
        <v>45</v>
      </c>
      <c r="W4" s="47"/>
      <c r="X4" s="47"/>
      <c r="Y4" s="47"/>
      <c r="Z4" s="47"/>
      <c r="AA4" s="47"/>
    </row>
    <row r="5" spans="1:27" x14ac:dyDescent="0.35">
      <c r="A5" s="31"/>
      <c r="B5" s="31"/>
      <c r="C5" s="31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</row>
    <row r="6" spans="1:27" ht="15" customHeight="1" x14ac:dyDescent="0.35">
      <c r="A6" s="38" t="s">
        <v>1</v>
      </c>
      <c r="B6" s="38"/>
      <c r="C6" s="38"/>
      <c r="D6" s="38" t="s">
        <v>9</v>
      </c>
      <c r="E6" s="38"/>
      <c r="F6" s="38" t="s">
        <v>10</v>
      </c>
      <c r="G6" s="38"/>
      <c r="H6" s="38" t="s">
        <v>11</v>
      </c>
      <c r="I6" s="38"/>
      <c r="J6" s="38" t="s">
        <v>12</v>
      </c>
      <c r="K6" s="38"/>
      <c r="L6" s="38" t="s">
        <v>13</v>
      </c>
      <c r="M6" s="38"/>
      <c r="N6" s="38" t="s">
        <v>14</v>
      </c>
      <c r="O6" s="38"/>
      <c r="P6" s="38" t="s">
        <v>15</v>
      </c>
      <c r="Q6" s="38"/>
      <c r="R6" s="38" t="s">
        <v>16</v>
      </c>
      <c r="S6" s="38"/>
      <c r="T6" s="38" t="s">
        <v>17</v>
      </c>
      <c r="U6" s="38"/>
      <c r="V6" s="38" t="s">
        <v>18</v>
      </c>
      <c r="W6" s="38"/>
      <c r="X6" s="38" t="s">
        <v>19</v>
      </c>
      <c r="Y6" s="38"/>
      <c r="Z6" s="38" t="s">
        <v>20</v>
      </c>
      <c r="AA6" s="38"/>
    </row>
    <row r="7" spans="1:27" x14ac:dyDescent="0.35">
      <c r="A7" s="38" t="s">
        <v>2</v>
      </c>
      <c r="B7" s="38"/>
      <c r="C7" s="38"/>
      <c r="D7" s="42"/>
      <c r="E7" s="42"/>
      <c r="F7" s="42">
        <v>4</v>
      </c>
      <c r="G7" s="42"/>
      <c r="H7" s="42">
        <v>4</v>
      </c>
      <c r="I7" s="42"/>
      <c r="J7" s="42">
        <v>4</v>
      </c>
      <c r="K7" s="42"/>
      <c r="L7" s="42">
        <v>4</v>
      </c>
      <c r="M7" s="42"/>
      <c r="N7" s="42">
        <v>4</v>
      </c>
      <c r="O7" s="42"/>
      <c r="P7" s="42">
        <v>4</v>
      </c>
      <c r="Q7" s="42"/>
      <c r="R7" s="42">
        <v>4</v>
      </c>
      <c r="S7" s="42"/>
      <c r="T7" s="42">
        <v>4</v>
      </c>
      <c r="U7" s="42"/>
      <c r="V7" s="42">
        <v>4</v>
      </c>
      <c r="W7" s="42"/>
      <c r="X7" s="42"/>
      <c r="Y7" s="42"/>
      <c r="Z7" s="42"/>
      <c r="AA7" s="42"/>
    </row>
    <row r="8" spans="1:27" ht="16.5" customHeight="1" x14ac:dyDescent="0.35">
      <c r="A8" s="38" t="s">
        <v>3</v>
      </c>
      <c r="B8" s="38"/>
      <c r="C8" s="38"/>
      <c r="D8" s="10" t="s">
        <v>49</v>
      </c>
      <c r="E8" s="10" t="s">
        <v>48</v>
      </c>
      <c r="F8" s="10" t="s">
        <v>49</v>
      </c>
      <c r="G8" s="10" t="s">
        <v>48</v>
      </c>
      <c r="H8" s="10" t="s">
        <v>49</v>
      </c>
      <c r="I8" s="10" t="s">
        <v>48</v>
      </c>
      <c r="J8" s="10" t="s">
        <v>49</v>
      </c>
      <c r="K8" s="10" t="s">
        <v>48</v>
      </c>
      <c r="L8" s="10" t="s">
        <v>49</v>
      </c>
      <c r="M8" s="10" t="s">
        <v>48</v>
      </c>
      <c r="N8" s="10" t="s">
        <v>49</v>
      </c>
      <c r="O8" s="10" t="s">
        <v>48</v>
      </c>
      <c r="P8" s="10" t="s">
        <v>49</v>
      </c>
      <c r="Q8" s="10" t="s">
        <v>48</v>
      </c>
      <c r="R8" s="10" t="s">
        <v>49</v>
      </c>
      <c r="S8" s="10" t="s">
        <v>48</v>
      </c>
      <c r="T8" s="10" t="s">
        <v>49</v>
      </c>
      <c r="U8" s="10" t="s">
        <v>48</v>
      </c>
      <c r="V8" s="10" t="s">
        <v>49</v>
      </c>
      <c r="W8" s="10" t="s">
        <v>48</v>
      </c>
      <c r="X8" s="10" t="s">
        <v>49</v>
      </c>
      <c r="Y8" s="10" t="s">
        <v>48</v>
      </c>
      <c r="Z8" s="10" t="s">
        <v>49</v>
      </c>
      <c r="AA8" s="10" t="s">
        <v>48</v>
      </c>
    </row>
    <row r="9" spans="1:27" ht="20.25" customHeight="1" x14ac:dyDescent="0.35">
      <c r="A9" s="1"/>
      <c r="B9" s="2" t="s">
        <v>4</v>
      </c>
      <c r="C9" s="2" t="s">
        <v>5</v>
      </c>
      <c r="D9" s="39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1"/>
    </row>
    <row r="10" spans="1:27" x14ac:dyDescent="0.35">
      <c r="A10" s="1">
        <v>1</v>
      </c>
      <c r="B10" s="3" t="s">
        <v>27</v>
      </c>
      <c r="C10" s="4" t="s">
        <v>21</v>
      </c>
      <c r="D10" s="5"/>
      <c r="E10" s="5"/>
      <c r="F10" s="5" t="s">
        <v>46</v>
      </c>
      <c r="G10" s="5"/>
      <c r="H10" s="5"/>
      <c r="I10" s="5"/>
      <c r="J10" s="5"/>
      <c r="K10" s="5"/>
      <c r="L10" s="5" t="s">
        <v>46</v>
      </c>
      <c r="M10" s="5"/>
      <c r="N10" s="5" t="s">
        <v>46</v>
      </c>
      <c r="O10" s="5"/>
      <c r="P10" s="5"/>
      <c r="Q10" s="5"/>
      <c r="R10" s="5"/>
      <c r="S10" s="5"/>
      <c r="T10" s="5" t="s">
        <v>46</v>
      </c>
      <c r="U10" s="5"/>
      <c r="V10" s="5"/>
      <c r="W10" s="5"/>
      <c r="X10" s="5"/>
      <c r="Y10" s="5"/>
      <c r="Z10" s="5"/>
      <c r="AA10" s="5"/>
    </row>
    <row r="11" spans="1:27" x14ac:dyDescent="0.35">
      <c r="A11" s="1">
        <v>2</v>
      </c>
      <c r="B11" s="3" t="s">
        <v>25</v>
      </c>
      <c r="C11" s="4" t="s">
        <v>21</v>
      </c>
      <c r="D11" s="5"/>
      <c r="E11" s="5"/>
      <c r="F11" s="5" t="s">
        <v>46</v>
      </c>
      <c r="G11" s="5"/>
      <c r="H11" s="5"/>
      <c r="I11" s="5"/>
      <c r="J11" s="5"/>
      <c r="K11" s="5"/>
      <c r="L11" s="5" t="s">
        <v>46</v>
      </c>
      <c r="M11" s="5"/>
      <c r="N11" s="5" t="s">
        <v>46</v>
      </c>
      <c r="O11" s="5"/>
      <c r="P11" s="5"/>
      <c r="Q11" s="5"/>
      <c r="R11" s="5"/>
      <c r="S11" s="5"/>
      <c r="T11" s="5" t="s">
        <v>46</v>
      </c>
      <c r="U11" s="5"/>
      <c r="V11" s="5"/>
      <c r="W11" s="5"/>
      <c r="X11" s="5"/>
      <c r="Y11" s="5"/>
      <c r="Z11" s="5"/>
      <c r="AA11" s="5"/>
    </row>
    <row r="12" spans="1:27" x14ac:dyDescent="0.35">
      <c r="A12" s="1">
        <v>3</v>
      </c>
      <c r="B12" s="3" t="s">
        <v>37</v>
      </c>
      <c r="C12" s="4" t="s">
        <v>38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 t="s">
        <v>46</v>
      </c>
      <c r="W12" s="5"/>
      <c r="X12" s="5"/>
      <c r="Y12" s="5"/>
      <c r="Z12" s="5"/>
      <c r="AA12" s="5"/>
    </row>
    <row r="13" spans="1:27" x14ac:dyDescent="0.35">
      <c r="A13" s="1">
        <v>4</v>
      </c>
      <c r="B13" s="3" t="s">
        <v>30</v>
      </c>
      <c r="C13" s="4" t="s">
        <v>39</v>
      </c>
      <c r="D13" s="5"/>
      <c r="E13" s="5"/>
      <c r="F13" s="5" t="s">
        <v>46</v>
      </c>
      <c r="G13" s="5"/>
      <c r="H13" s="5" t="s">
        <v>46</v>
      </c>
      <c r="I13" s="5"/>
      <c r="J13" s="5" t="s">
        <v>46</v>
      </c>
      <c r="K13" s="5"/>
      <c r="L13" s="5" t="s">
        <v>46</v>
      </c>
      <c r="M13" s="5"/>
      <c r="N13" s="5" t="s">
        <v>46</v>
      </c>
      <c r="O13" s="5"/>
      <c r="P13" s="5" t="s">
        <v>46</v>
      </c>
      <c r="Q13" s="5"/>
      <c r="R13" s="5" t="s">
        <v>46</v>
      </c>
      <c r="S13" s="5"/>
      <c r="T13" s="5" t="s">
        <v>46</v>
      </c>
      <c r="U13" s="5"/>
      <c r="V13" s="5" t="s">
        <v>46</v>
      </c>
      <c r="W13" s="5"/>
      <c r="X13" s="5"/>
      <c r="Y13" s="5"/>
      <c r="Z13" s="5"/>
      <c r="AA13" s="5"/>
    </row>
    <row r="14" spans="1:27" x14ac:dyDescent="0.35">
      <c r="A14" s="1">
        <v>5</v>
      </c>
      <c r="B14" s="3" t="s">
        <v>28</v>
      </c>
      <c r="C14" s="4" t="s">
        <v>34</v>
      </c>
      <c r="D14" s="5"/>
      <c r="E14" s="5"/>
      <c r="F14" s="5"/>
      <c r="G14" s="5"/>
      <c r="H14" s="5" t="s">
        <v>46</v>
      </c>
      <c r="I14" s="5"/>
      <c r="J14" s="5" t="s">
        <v>46</v>
      </c>
      <c r="K14" s="5"/>
      <c r="L14" s="5"/>
      <c r="M14" s="5"/>
      <c r="N14" s="5" t="s">
        <v>46</v>
      </c>
      <c r="O14" s="5"/>
      <c r="P14" s="5" t="s">
        <v>46</v>
      </c>
      <c r="Q14" s="5"/>
      <c r="R14" s="5" t="s">
        <v>46</v>
      </c>
      <c r="S14" s="5"/>
      <c r="T14" s="5" t="s">
        <v>46</v>
      </c>
      <c r="U14" s="5"/>
      <c r="V14" s="5"/>
      <c r="W14" s="5"/>
      <c r="X14" s="5"/>
      <c r="Y14" s="5"/>
      <c r="Z14" s="5"/>
      <c r="AA14" s="5"/>
    </row>
    <row r="15" spans="1:27" x14ac:dyDescent="0.35">
      <c r="A15" s="1">
        <v>6</v>
      </c>
      <c r="B15" s="3" t="s">
        <v>52</v>
      </c>
      <c r="C15" s="4" t="s">
        <v>21</v>
      </c>
      <c r="D15" s="5"/>
      <c r="E15" s="5"/>
      <c r="F15" s="5"/>
      <c r="G15" s="5"/>
      <c r="H15" s="5"/>
      <c r="I15" s="5"/>
      <c r="J15" s="5"/>
      <c r="K15" s="5"/>
      <c r="L15" s="5" t="s">
        <v>46</v>
      </c>
      <c r="M15" s="5"/>
      <c r="N15" s="5"/>
      <c r="O15" s="5"/>
      <c r="P15" s="5"/>
      <c r="Q15" s="5"/>
      <c r="R15" s="5"/>
      <c r="S15" s="5"/>
      <c r="T15" s="5" t="s">
        <v>46</v>
      </c>
      <c r="U15" s="5"/>
      <c r="V15" s="5"/>
      <c r="W15" s="5"/>
      <c r="X15" s="5"/>
      <c r="Y15" s="5"/>
      <c r="Z15" s="5"/>
      <c r="AA15" s="5"/>
    </row>
    <row r="16" spans="1:27" x14ac:dyDescent="0.35">
      <c r="A16" s="1">
        <v>7</v>
      </c>
      <c r="B16" s="3" t="s">
        <v>32</v>
      </c>
      <c r="C16" s="4" t="s">
        <v>35</v>
      </c>
      <c r="D16" s="5"/>
      <c r="E16" s="5"/>
      <c r="F16" s="5"/>
      <c r="G16" s="5"/>
      <c r="H16" s="5" t="s">
        <v>46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x14ac:dyDescent="0.35">
      <c r="A17" s="1">
        <v>8</v>
      </c>
      <c r="B17" s="3" t="s">
        <v>33</v>
      </c>
      <c r="C17" s="4" t="s">
        <v>35</v>
      </c>
      <c r="D17" s="5"/>
      <c r="E17" s="5"/>
      <c r="F17" s="5"/>
      <c r="G17" s="5"/>
      <c r="H17" s="5"/>
      <c r="I17" s="5"/>
      <c r="J17" s="5" t="s">
        <v>46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x14ac:dyDescent="0.35">
      <c r="A18" s="1">
        <v>9</v>
      </c>
      <c r="B18" s="3" t="s">
        <v>29</v>
      </c>
      <c r="C18" s="4" t="s">
        <v>36</v>
      </c>
      <c r="D18" s="5"/>
      <c r="E18" s="5"/>
      <c r="F18" s="5"/>
      <c r="G18" s="5"/>
      <c r="H18" s="5"/>
      <c r="I18" s="5"/>
      <c r="J18" s="5" t="s">
        <v>46</v>
      </c>
      <c r="K18" s="5"/>
      <c r="L18" s="5"/>
      <c r="M18" s="5"/>
      <c r="N18" s="5"/>
      <c r="O18" s="5"/>
      <c r="P18" s="5" t="s">
        <v>46</v>
      </c>
      <c r="Q18" s="5"/>
      <c r="R18" s="5" t="s">
        <v>46</v>
      </c>
      <c r="S18" s="5"/>
      <c r="T18" s="5"/>
      <c r="U18" s="5"/>
      <c r="V18" s="5" t="s">
        <v>46</v>
      </c>
      <c r="W18" s="5"/>
      <c r="X18" s="5"/>
      <c r="Y18" s="5"/>
      <c r="Z18" s="5"/>
      <c r="AA18" s="5"/>
    </row>
    <row r="19" spans="1:27" x14ac:dyDescent="0.35">
      <c r="A19" s="1">
        <v>10</v>
      </c>
      <c r="B19" s="8" t="s">
        <v>26</v>
      </c>
      <c r="C19" s="4" t="s">
        <v>21</v>
      </c>
      <c r="D19" s="5"/>
      <c r="E19" s="5"/>
      <c r="F19" s="5" t="s">
        <v>46</v>
      </c>
      <c r="G19" s="5"/>
      <c r="H19" s="5"/>
      <c r="I19" s="5"/>
      <c r="J19" s="5"/>
      <c r="K19" s="5"/>
      <c r="L19" s="5" t="s">
        <v>46</v>
      </c>
      <c r="M19" s="5"/>
      <c r="N19" s="5"/>
      <c r="O19" s="5"/>
      <c r="P19" s="5"/>
      <c r="Q19" s="5"/>
      <c r="R19" s="5"/>
      <c r="S19" s="5"/>
      <c r="T19" s="5" t="s">
        <v>46</v>
      </c>
      <c r="U19" s="5"/>
      <c r="V19" s="5"/>
      <c r="W19" s="5"/>
      <c r="X19" s="5"/>
      <c r="Y19" s="5"/>
      <c r="Z19" s="5"/>
      <c r="AA19" s="5"/>
    </row>
    <row r="20" spans="1:27" x14ac:dyDescent="0.35">
      <c r="A20" s="1">
        <v>11</v>
      </c>
      <c r="B20" s="7" t="s">
        <v>31</v>
      </c>
      <c r="C20" s="4" t="s">
        <v>36</v>
      </c>
      <c r="D20" s="5"/>
      <c r="E20" s="5"/>
      <c r="F20" s="5"/>
      <c r="G20" s="5"/>
      <c r="H20" s="5"/>
      <c r="I20" s="5"/>
      <c r="J20" s="5" t="s">
        <v>46</v>
      </c>
      <c r="K20" s="5"/>
      <c r="L20" s="5"/>
      <c r="M20" s="5"/>
      <c r="N20" s="5"/>
      <c r="O20" s="5"/>
      <c r="P20" s="5" t="s">
        <v>46</v>
      </c>
      <c r="Q20" s="5"/>
      <c r="R20" s="5" t="s">
        <v>46</v>
      </c>
      <c r="S20" s="5"/>
      <c r="T20" s="5"/>
      <c r="U20" s="5"/>
      <c r="V20" s="5"/>
      <c r="W20" s="5"/>
      <c r="X20" s="5"/>
      <c r="Y20" s="5"/>
      <c r="Z20" s="5"/>
      <c r="AA20" s="5"/>
    </row>
    <row r="21" spans="1:27" x14ac:dyDescent="0.35">
      <c r="A21" s="1"/>
      <c r="B21" s="1"/>
      <c r="C21" s="1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x14ac:dyDescent="0.35">
      <c r="A22" s="38" t="s">
        <v>7</v>
      </c>
      <c r="B22" s="38"/>
      <c r="C22" s="38"/>
      <c r="D22" s="9">
        <f t="shared" ref="D22:AA22" si="0">+COUNTA(D10:D20)</f>
        <v>0</v>
      </c>
      <c r="E22" s="9">
        <f t="shared" si="0"/>
        <v>0</v>
      </c>
      <c r="F22" s="9">
        <f t="shared" si="0"/>
        <v>4</v>
      </c>
      <c r="G22" s="9">
        <f t="shared" si="0"/>
        <v>0</v>
      </c>
      <c r="H22" s="9">
        <f t="shared" si="0"/>
        <v>3</v>
      </c>
      <c r="I22" s="9">
        <f t="shared" si="0"/>
        <v>0</v>
      </c>
      <c r="J22" s="9">
        <f t="shared" si="0"/>
        <v>5</v>
      </c>
      <c r="K22" s="9">
        <f t="shared" si="0"/>
        <v>0</v>
      </c>
      <c r="L22" s="9">
        <f t="shared" si="0"/>
        <v>5</v>
      </c>
      <c r="M22" s="9">
        <f t="shared" si="0"/>
        <v>0</v>
      </c>
      <c r="N22" s="9">
        <f t="shared" si="0"/>
        <v>4</v>
      </c>
      <c r="O22" s="9">
        <f t="shared" si="0"/>
        <v>0</v>
      </c>
      <c r="P22" s="9">
        <f t="shared" si="0"/>
        <v>4</v>
      </c>
      <c r="Q22" s="9">
        <f t="shared" si="0"/>
        <v>0</v>
      </c>
      <c r="R22" s="9">
        <f t="shared" si="0"/>
        <v>4</v>
      </c>
      <c r="S22" s="9">
        <f t="shared" si="0"/>
        <v>0</v>
      </c>
      <c r="T22" s="9">
        <f t="shared" si="0"/>
        <v>6</v>
      </c>
      <c r="U22" s="9">
        <f t="shared" si="0"/>
        <v>0</v>
      </c>
      <c r="V22" s="9">
        <f t="shared" si="0"/>
        <v>3</v>
      </c>
      <c r="W22" s="9">
        <f t="shared" si="0"/>
        <v>0</v>
      </c>
      <c r="X22" s="9">
        <f t="shared" si="0"/>
        <v>0</v>
      </c>
      <c r="Y22" s="9">
        <f t="shared" si="0"/>
        <v>0</v>
      </c>
      <c r="Z22" s="9">
        <f t="shared" si="0"/>
        <v>0</v>
      </c>
      <c r="AA22" s="9">
        <f t="shared" si="0"/>
        <v>0</v>
      </c>
    </row>
    <row r="23" spans="1:27" x14ac:dyDescent="0.35">
      <c r="A23" s="38" t="s">
        <v>8</v>
      </c>
      <c r="B23" s="38"/>
      <c r="C23" s="38"/>
      <c r="D23" s="46" t="e">
        <f>(E22*100/D22)</f>
        <v>#DIV/0!</v>
      </c>
      <c r="E23" s="46"/>
      <c r="F23" s="46">
        <f>(G22*100/F22)</f>
        <v>0</v>
      </c>
      <c r="G23" s="46"/>
      <c r="H23" s="46">
        <f>(I22*100/H22)</f>
        <v>0</v>
      </c>
      <c r="I23" s="46"/>
      <c r="J23" s="46">
        <f>(K22*100/J22)</f>
        <v>0</v>
      </c>
      <c r="K23" s="46"/>
      <c r="L23" s="46">
        <f>(M22*100/L22)</f>
        <v>0</v>
      </c>
      <c r="M23" s="46"/>
      <c r="N23" s="46">
        <f>(O22*100/N22)</f>
        <v>0</v>
      </c>
      <c r="O23" s="46"/>
      <c r="P23" s="46">
        <f>(Q22*100/P22)</f>
        <v>0</v>
      </c>
      <c r="Q23" s="46"/>
      <c r="R23" s="46">
        <f>(S22*100/R22)</f>
        <v>0</v>
      </c>
      <c r="S23" s="46"/>
      <c r="T23" s="46">
        <f>(U22*100/T22)</f>
        <v>0</v>
      </c>
      <c r="U23" s="46"/>
      <c r="V23" s="46">
        <f>(W22*100/V22)</f>
        <v>0</v>
      </c>
      <c r="W23" s="46"/>
      <c r="X23" s="46" t="e">
        <f>(Y22*100/X22)</f>
        <v>#DIV/0!</v>
      </c>
      <c r="Y23" s="46"/>
      <c r="Z23" s="46" t="e">
        <f>(AA22*100/Z22)</f>
        <v>#DIV/0!</v>
      </c>
      <c r="AA23" s="46"/>
    </row>
    <row r="24" spans="1:27" x14ac:dyDescent="0.35">
      <c r="A24" s="38" t="s">
        <v>6</v>
      </c>
      <c r="B24" s="38"/>
      <c r="C24" s="38"/>
      <c r="D24" s="46" t="e">
        <f>SUM(D23:AA23)/12</f>
        <v>#DIV/0!</v>
      </c>
      <c r="E24" s="4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x14ac:dyDescent="0.35"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</sheetData>
  <sortState xmlns:xlrd2="http://schemas.microsoft.com/office/spreadsheetml/2017/richdata2" ref="B10:C20">
    <sortCondition ref="B10:B20"/>
  </sortState>
  <mergeCells count="61">
    <mergeCell ref="H4:I5"/>
    <mergeCell ref="J4:K5"/>
    <mergeCell ref="L4:M5"/>
    <mergeCell ref="Z7:AA7"/>
    <mergeCell ref="B1:X2"/>
    <mergeCell ref="Y1:AA2"/>
    <mergeCell ref="A3:B3"/>
    <mergeCell ref="D3:AA3"/>
    <mergeCell ref="N7:O7"/>
    <mergeCell ref="P7:Q7"/>
    <mergeCell ref="R7:S7"/>
    <mergeCell ref="T7:U7"/>
    <mergeCell ref="V7:W7"/>
    <mergeCell ref="D7:E7"/>
    <mergeCell ref="F7:G7"/>
    <mergeCell ref="H7:I7"/>
    <mergeCell ref="N4:O5"/>
    <mergeCell ref="P4:Q5"/>
    <mergeCell ref="R4:S5"/>
    <mergeCell ref="T4:U5"/>
    <mergeCell ref="V4:W5"/>
    <mergeCell ref="X4:Y5"/>
    <mergeCell ref="Z4:AA5"/>
    <mergeCell ref="P6:Q6"/>
    <mergeCell ref="R6:S6"/>
    <mergeCell ref="T6:U6"/>
    <mergeCell ref="V6:W6"/>
    <mergeCell ref="X6:Y6"/>
    <mergeCell ref="Z6:AA6"/>
    <mergeCell ref="A6:C6"/>
    <mergeCell ref="A4:C5"/>
    <mergeCell ref="A7:C7"/>
    <mergeCell ref="D6:E6"/>
    <mergeCell ref="F6:G6"/>
    <mergeCell ref="D4:E5"/>
    <mergeCell ref="F4:G5"/>
    <mergeCell ref="H6:I6"/>
    <mergeCell ref="J6:K6"/>
    <mergeCell ref="L6:M6"/>
    <mergeCell ref="N6:O6"/>
    <mergeCell ref="X7:Y7"/>
    <mergeCell ref="J7:K7"/>
    <mergeCell ref="L7:M7"/>
    <mergeCell ref="A22:C22"/>
    <mergeCell ref="A8:C8"/>
    <mergeCell ref="D23:E23"/>
    <mergeCell ref="F23:G23"/>
    <mergeCell ref="H23:I23"/>
    <mergeCell ref="D9:AA9"/>
    <mergeCell ref="J23:K23"/>
    <mergeCell ref="L23:M23"/>
    <mergeCell ref="A24:C24"/>
    <mergeCell ref="D24:E24"/>
    <mergeCell ref="Z23:AA23"/>
    <mergeCell ref="N23:O23"/>
    <mergeCell ref="P23:Q23"/>
    <mergeCell ref="R23:S23"/>
    <mergeCell ref="T23:U23"/>
    <mergeCell ref="V23:W23"/>
    <mergeCell ref="X23:Y23"/>
    <mergeCell ref="A23:C23"/>
  </mergeCells>
  <phoneticPr fontId="7" type="noConversion"/>
  <pageMargins left="0.7" right="0.7" top="0.75" bottom="0.75" header="0.3" footer="0.3"/>
  <pageSetup paperSize="9" scale="40" fitToHeight="0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4172E-8F90-45C6-9869-7A5DF3DCD6AD}">
  <dimension ref="A1:G40"/>
  <sheetViews>
    <sheetView workbookViewId="0">
      <selection activeCell="L15" sqref="L15"/>
    </sheetView>
  </sheetViews>
  <sheetFormatPr baseColWidth="10" defaultRowHeight="14.5" x14ac:dyDescent="0.35"/>
  <cols>
    <col min="1" max="1" width="20.54296875" customWidth="1"/>
  </cols>
  <sheetData>
    <row r="1" spans="1:7" x14ac:dyDescent="0.35">
      <c r="A1" s="49" t="s">
        <v>97</v>
      </c>
      <c r="B1" s="49"/>
      <c r="C1" s="49"/>
      <c r="D1" s="49"/>
      <c r="E1" s="49"/>
      <c r="F1" s="49"/>
      <c r="G1" s="49"/>
    </row>
    <row r="2" spans="1:7" ht="29.5" customHeight="1" x14ac:dyDescent="0.35">
      <c r="A2" s="12" t="s">
        <v>53</v>
      </c>
      <c r="B2" s="12" t="s">
        <v>54</v>
      </c>
      <c r="C2" s="13" t="s">
        <v>55</v>
      </c>
      <c r="D2" s="13" t="s">
        <v>56</v>
      </c>
      <c r="E2" s="13" t="s">
        <v>57</v>
      </c>
      <c r="F2" s="13" t="s">
        <v>58</v>
      </c>
      <c r="G2" s="13" t="s">
        <v>59</v>
      </c>
    </row>
    <row r="3" spans="1:7" ht="29" x14ac:dyDescent="0.35">
      <c r="A3" s="14" t="s">
        <v>60</v>
      </c>
      <c r="B3" s="17" t="b">
        <v>1</v>
      </c>
      <c r="C3" s="11"/>
      <c r="D3" s="14"/>
      <c r="E3" s="14"/>
      <c r="F3" s="14"/>
      <c r="G3" s="11"/>
    </row>
    <row r="4" spans="1:7" x14ac:dyDescent="0.35">
      <c r="A4" s="14" t="s">
        <v>61</v>
      </c>
      <c r="B4" s="17" t="b">
        <v>1</v>
      </c>
      <c r="C4" s="11"/>
      <c r="D4" s="14"/>
      <c r="E4" s="14"/>
      <c r="F4" s="14"/>
      <c r="G4" s="11"/>
    </row>
    <row r="5" spans="1:7" x14ac:dyDescent="0.35">
      <c r="A5" s="14" t="s">
        <v>62</v>
      </c>
      <c r="B5" s="17" t="b">
        <v>1</v>
      </c>
      <c r="C5" s="11"/>
      <c r="D5" s="14"/>
      <c r="E5" s="14"/>
      <c r="F5" s="14"/>
      <c r="G5" s="11"/>
    </row>
    <row r="6" spans="1:7" x14ac:dyDescent="0.35">
      <c r="A6" s="14" t="s">
        <v>63</v>
      </c>
      <c r="B6" s="17" t="b">
        <v>1</v>
      </c>
      <c r="C6" s="11"/>
      <c r="D6" s="14"/>
      <c r="E6" s="14"/>
      <c r="F6" s="14"/>
      <c r="G6" s="11"/>
    </row>
    <row r="7" spans="1:7" ht="29" x14ac:dyDescent="0.35">
      <c r="A7" s="14" t="s">
        <v>96</v>
      </c>
      <c r="B7" s="17" t="b">
        <v>1</v>
      </c>
      <c r="C7" s="11"/>
      <c r="D7" s="14"/>
      <c r="E7" s="14"/>
      <c r="F7" s="14"/>
      <c r="G7" s="11"/>
    </row>
    <row r="8" spans="1:7" x14ac:dyDescent="0.35">
      <c r="A8" s="14" t="s">
        <v>64</v>
      </c>
      <c r="B8" s="17" t="b">
        <v>1</v>
      </c>
      <c r="C8" s="11"/>
      <c r="D8" s="14"/>
      <c r="E8" s="14"/>
      <c r="F8" s="14"/>
      <c r="G8" s="11"/>
    </row>
    <row r="9" spans="1:7" ht="43.5" x14ac:dyDescent="0.35">
      <c r="A9" s="14" t="s">
        <v>65</v>
      </c>
      <c r="B9" s="17" t="b">
        <v>1</v>
      </c>
      <c r="C9" s="11"/>
      <c r="D9" s="14"/>
      <c r="E9" s="14"/>
      <c r="F9" s="14"/>
      <c r="G9" s="11"/>
    </row>
    <row r="10" spans="1:7" x14ac:dyDescent="0.35">
      <c r="A10" s="14" t="s">
        <v>66</v>
      </c>
      <c r="B10" s="17" t="b">
        <v>1</v>
      </c>
      <c r="C10" s="11"/>
      <c r="D10" s="14"/>
      <c r="E10" s="14"/>
      <c r="F10" s="14"/>
      <c r="G10" s="11"/>
    </row>
    <row r="11" spans="1:7" ht="29" x14ac:dyDescent="0.35">
      <c r="A11" s="14" t="s">
        <v>67</v>
      </c>
      <c r="B11" s="17" t="b">
        <v>1</v>
      </c>
      <c r="C11" s="11"/>
      <c r="D11" s="14"/>
      <c r="E11" s="14"/>
      <c r="F11" s="14"/>
      <c r="G11" s="11"/>
    </row>
    <row r="12" spans="1:7" ht="29" x14ac:dyDescent="0.35">
      <c r="A12" s="14" t="s">
        <v>68</v>
      </c>
      <c r="B12" s="17" t="b">
        <v>1</v>
      </c>
      <c r="C12" s="11"/>
      <c r="D12" s="14"/>
      <c r="E12" s="14"/>
      <c r="F12" s="14"/>
      <c r="G12" s="11"/>
    </row>
    <row r="13" spans="1:7" x14ac:dyDescent="0.35">
      <c r="A13" s="14" t="s">
        <v>69</v>
      </c>
      <c r="B13" s="17" t="b">
        <v>1</v>
      </c>
      <c r="C13" s="11"/>
      <c r="D13" s="14"/>
      <c r="E13" s="14"/>
      <c r="F13" s="14"/>
      <c r="G13" s="11"/>
    </row>
    <row r="14" spans="1:7" ht="29" x14ac:dyDescent="0.35">
      <c r="A14" s="14" t="s">
        <v>70</v>
      </c>
      <c r="B14" s="17" t="b">
        <v>1</v>
      </c>
      <c r="C14" s="11"/>
      <c r="D14" s="14"/>
      <c r="E14" s="14"/>
      <c r="F14" s="14"/>
      <c r="G14" s="11"/>
    </row>
    <row r="15" spans="1:7" x14ac:dyDescent="0.35">
      <c r="A15" s="14" t="s">
        <v>71</v>
      </c>
      <c r="B15" s="17" t="b">
        <v>1</v>
      </c>
      <c r="C15" s="11"/>
      <c r="D15" s="14"/>
      <c r="E15" s="14"/>
      <c r="F15" s="14"/>
      <c r="G15" s="11"/>
    </row>
    <row r="16" spans="1:7" ht="29" x14ac:dyDescent="0.35">
      <c r="A16" s="14" t="s">
        <v>72</v>
      </c>
      <c r="B16" s="17" t="b">
        <v>1</v>
      </c>
      <c r="C16" s="11"/>
      <c r="D16" s="14"/>
      <c r="E16" s="14"/>
      <c r="F16" s="14"/>
      <c r="G16" s="11"/>
    </row>
    <row r="17" spans="1:7" x14ac:dyDescent="0.35">
      <c r="A17" s="48" t="s">
        <v>73</v>
      </c>
      <c r="B17" s="48"/>
      <c r="C17" s="48"/>
      <c r="D17" s="48"/>
      <c r="E17" s="48"/>
      <c r="F17" s="48"/>
      <c r="G17" s="48"/>
    </row>
    <row r="18" spans="1:7" x14ac:dyDescent="0.35">
      <c r="A18" s="14" t="s">
        <v>74</v>
      </c>
      <c r="B18" s="17" t="b">
        <v>1</v>
      </c>
      <c r="C18" s="11"/>
      <c r="D18" s="14"/>
      <c r="E18" s="14"/>
      <c r="F18" s="14"/>
      <c r="G18" s="11"/>
    </row>
    <row r="19" spans="1:7" ht="29" x14ac:dyDescent="0.35">
      <c r="A19" s="14" t="s">
        <v>75</v>
      </c>
      <c r="B19" s="17" t="b">
        <v>1</v>
      </c>
      <c r="C19" s="11"/>
      <c r="D19" s="14"/>
      <c r="E19" s="14"/>
      <c r="F19" s="14"/>
      <c r="G19" s="11"/>
    </row>
    <row r="20" spans="1:7" ht="87" x14ac:dyDescent="0.35">
      <c r="A20" s="14" t="s">
        <v>76</v>
      </c>
      <c r="B20" s="17" t="b">
        <v>1</v>
      </c>
      <c r="C20" s="11"/>
      <c r="D20" s="14"/>
      <c r="E20" s="14"/>
      <c r="F20" s="14"/>
      <c r="G20" s="11"/>
    </row>
    <row r="21" spans="1:7" x14ac:dyDescent="0.35">
      <c r="A21" s="14" t="s">
        <v>77</v>
      </c>
      <c r="B21" s="17" t="b">
        <v>1</v>
      </c>
      <c r="C21" s="11"/>
      <c r="D21" s="14"/>
      <c r="E21" s="14"/>
      <c r="F21" s="14"/>
      <c r="G21" s="11"/>
    </row>
    <row r="22" spans="1:7" x14ac:dyDescent="0.35">
      <c r="A22" s="14" t="s">
        <v>78</v>
      </c>
      <c r="B22" s="17" t="b">
        <v>1</v>
      </c>
      <c r="C22" s="11"/>
      <c r="D22" s="14"/>
      <c r="E22" s="14"/>
      <c r="F22" s="14"/>
      <c r="G22" s="11"/>
    </row>
    <row r="23" spans="1:7" x14ac:dyDescent="0.35">
      <c r="A23" s="14" t="s">
        <v>79</v>
      </c>
      <c r="B23" s="17" t="b">
        <v>1</v>
      </c>
      <c r="C23" s="11"/>
      <c r="D23" s="14"/>
      <c r="E23" s="14"/>
      <c r="F23" s="14"/>
      <c r="G23" s="11"/>
    </row>
    <row r="24" spans="1:7" ht="29" x14ac:dyDescent="0.35">
      <c r="A24" s="14" t="s">
        <v>80</v>
      </c>
      <c r="B24" s="17" t="b">
        <v>1</v>
      </c>
      <c r="C24" s="11"/>
      <c r="D24" s="14"/>
      <c r="E24" s="14"/>
      <c r="F24" s="14"/>
      <c r="G24" s="11"/>
    </row>
    <row r="25" spans="1:7" x14ac:dyDescent="0.35">
      <c r="A25" s="48" t="s">
        <v>81</v>
      </c>
      <c r="B25" s="48"/>
      <c r="C25" s="48"/>
      <c r="D25" s="48"/>
      <c r="E25" s="48"/>
      <c r="F25" s="48"/>
      <c r="G25" s="48"/>
    </row>
    <row r="26" spans="1:7" x14ac:dyDescent="0.35">
      <c r="A26" s="14" t="s">
        <v>82</v>
      </c>
      <c r="B26" s="16" t="b">
        <v>1</v>
      </c>
      <c r="C26" s="11"/>
      <c r="D26" s="14"/>
      <c r="E26" s="14"/>
      <c r="F26" s="14"/>
      <c r="G26" s="11"/>
    </row>
    <row r="27" spans="1:7" ht="43.5" x14ac:dyDescent="0.35">
      <c r="A27" s="14" t="s">
        <v>83</v>
      </c>
      <c r="B27" s="16" t="b">
        <v>1</v>
      </c>
      <c r="C27" s="11"/>
      <c r="D27" s="14"/>
      <c r="E27" s="14"/>
      <c r="F27" s="14"/>
      <c r="G27" s="11"/>
    </row>
    <row r="28" spans="1:7" ht="43.5" x14ac:dyDescent="0.35">
      <c r="A28" s="14" t="s">
        <v>84</v>
      </c>
      <c r="B28" s="16" t="b">
        <v>1</v>
      </c>
      <c r="C28" s="11"/>
      <c r="D28" s="14"/>
      <c r="E28" s="14"/>
      <c r="F28" s="14"/>
      <c r="G28" s="11"/>
    </row>
    <row r="29" spans="1:7" x14ac:dyDescent="0.35">
      <c r="A29" s="14" t="s">
        <v>85</v>
      </c>
      <c r="B29" s="16" t="b">
        <v>1</v>
      </c>
      <c r="C29" s="11"/>
      <c r="D29" s="14"/>
      <c r="E29" s="14"/>
      <c r="F29" s="14"/>
      <c r="G29" s="11"/>
    </row>
    <row r="30" spans="1:7" ht="29" x14ac:dyDescent="0.35">
      <c r="A30" s="14" t="s">
        <v>86</v>
      </c>
      <c r="B30" s="11"/>
      <c r="C30" s="16" t="b">
        <v>1</v>
      </c>
      <c r="D30" s="14"/>
      <c r="E30" s="14"/>
      <c r="F30" s="14"/>
      <c r="G30" s="11"/>
    </row>
    <row r="31" spans="1:7" x14ac:dyDescent="0.35">
      <c r="A31" s="14" t="s">
        <v>87</v>
      </c>
      <c r="B31" s="11"/>
      <c r="C31" s="16" t="b">
        <v>1</v>
      </c>
      <c r="D31" s="14"/>
      <c r="E31" s="14"/>
      <c r="F31" s="14"/>
      <c r="G31" s="11"/>
    </row>
    <row r="32" spans="1:7" x14ac:dyDescent="0.35">
      <c r="A32" s="14" t="s">
        <v>88</v>
      </c>
      <c r="B32" s="11"/>
      <c r="C32" s="16" t="b">
        <v>1</v>
      </c>
      <c r="D32" s="14"/>
      <c r="E32" s="14"/>
      <c r="F32" s="14"/>
      <c r="G32" s="11"/>
    </row>
    <row r="33" spans="1:7" x14ac:dyDescent="0.35">
      <c r="A33" s="14" t="s">
        <v>89</v>
      </c>
      <c r="B33" s="11"/>
      <c r="C33" s="16" t="b">
        <v>1</v>
      </c>
      <c r="D33" s="14"/>
      <c r="E33" s="14"/>
      <c r="F33" s="14"/>
      <c r="G33" s="11"/>
    </row>
    <row r="34" spans="1:7" x14ac:dyDescent="0.35">
      <c r="A34" s="48" t="s">
        <v>90</v>
      </c>
      <c r="B34" s="48"/>
      <c r="C34" s="48"/>
      <c r="D34" s="48"/>
      <c r="E34" s="48"/>
      <c r="F34" s="48"/>
      <c r="G34" s="48"/>
    </row>
    <row r="35" spans="1:7" x14ac:dyDescent="0.35">
      <c r="A35" s="14" t="s">
        <v>91</v>
      </c>
      <c r="B35" s="16" t="b">
        <v>1</v>
      </c>
      <c r="C35" s="16" t="b">
        <v>1</v>
      </c>
      <c r="D35" s="14"/>
      <c r="E35" s="14"/>
      <c r="F35" s="14"/>
      <c r="G35" s="11"/>
    </row>
    <row r="36" spans="1:7" ht="29" x14ac:dyDescent="0.35">
      <c r="A36" s="14" t="s">
        <v>92</v>
      </c>
      <c r="B36" s="11"/>
      <c r="C36" s="15"/>
      <c r="D36" s="18" t="b">
        <v>1</v>
      </c>
      <c r="E36" s="18" t="b">
        <v>1</v>
      </c>
      <c r="F36" s="14"/>
      <c r="G36" s="11"/>
    </row>
    <row r="37" spans="1:7" ht="29" x14ac:dyDescent="0.35">
      <c r="A37" s="14" t="s">
        <v>93</v>
      </c>
      <c r="B37" s="11"/>
      <c r="C37" s="11"/>
      <c r="D37" s="14"/>
      <c r="E37" s="14"/>
      <c r="F37" s="18" t="b">
        <v>1</v>
      </c>
      <c r="G37" s="18" t="b">
        <v>1</v>
      </c>
    </row>
    <row r="38" spans="1:7" x14ac:dyDescent="0.35">
      <c r="A38" s="48" t="s">
        <v>94</v>
      </c>
      <c r="B38" s="48"/>
      <c r="C38" s="48"/>
      <c r="D38" s="48"/>
      <c r="E38" s="48"/>
      <c r="F38" s="48"/>
      <c r="G38" s="48"/>
    </row>
    <row r="39" spans="1:7" x14ac:dyDescent="0.35">
      <c r="A39" s="14" t="s">
        <v>95</v>
      </c>
      <c r="B39" s="14"/>
      <c r="C39" s="14"/>
      <c r="D39" s="18" t="b">
        <v>1</v>
      </c>
      <c r="E39" s="11"/>
      <c r="F39" s="14"/>
      <c r="G39" s="14"/>
    </row>
    <row r="40" spans="1:7" x14ac:dyDescent="0.35">
      <c r="A40" s="14" t="s">
        <v>95</v>
      </c>
      <c r="B40" s="14"/>
      <c r="C40" s="14"/>
      <c r="D40" s="14"/>
      <c r="E40" s="11"/>
      <c r="F40" s="14"/>
      <c r="G40" s="18" t="b">
        <v>1</v>
      </c>
    </row>
  </sheetData>
  <mergeCells count="5">
    <mergeCell ref="A38:G38"/>
    <mergeCell ref="A34:G34"/>
    <mergeCell ref="A25:G25"/>
    <mergeCell ref="A17:G17"/>
    <mergeCell ref="A1:G1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746F-F7AF-47CC-8DA4-6E4AD2C992AB}">
  <dimension ref="A1:M39"/>
  <sheetViews>
    <sheetView workbookViewId="0">
      <selection activeCell="M39" sqref="A1:M39"/>
    </sheetView>
  </sheetViews>
  <sheetFormatPr baseColWidth="10" defaultRowHeight="14.5" x14ac:dyDescent="0.35"/>
  <cols>
    <col min="1" max="1" width="83.453125" bestFit="1" customWidth="1"/>
  </cols>
  <sheetData>
    <row r="1" spans="1:13" x14ac:dyDescent="0.35">
      <c r="A1" s="19" t="s">
        <v>39</v>
      </c>
      <c r="B1" s="21" t="s">
        <v>115</v>
      </c>
      <c r="C1" s="21" t="s">
        <v>116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21" t="s">
        <v>126</v>
      </c>
    </row>
    <row r="2" spans="1:13" ht="37" x14ac:dyDescent="0.45">
      <c r="A2" s="23" t="s">
        <v>137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3" x14ac:dyDescent="0.35">
      <c r="A3" s="20" t="s">
        <v>140</v>
      </c>
      <c r="B3" s="21"/>
      <c r="C3" s="21" t="s">
        <v>24</v>
      </c>
      <c r="D3" s="21"/>
      <c r="E3" s="21"/>
      <c r="F3" s="21" t="s">
        <v>24</v>
      </c>
      <c r="G3" s="21"/>
      <c r="H3" s="21"/>
      <c r="I3" s="21" t="s">
        <v>24</v>
      </c>
      <c r="J3" s="21"/>
      <c r="K3" s="21"/>
      <c r="L3" s="21" t="s">
        <v>24</v>
      </c>
      <c r="M3" s="21"/>
    </row>
    <row r="4" spans="1:13" x14ac:dyDescent="0.35">
      <c r="A4" s="20" t="s">
        <v>141</v>
      </c>
      <c r="B4" s="21"/>
      <c r="C4" s="21"/>
      <c r="D4" s="21" t="s">
        <v>24</v>
      </c>
      <c r="E4" s="21"/>
      <c r="F4" s="21"/>
      <c r="G4" s="21" t="s">
        <v>24</v>
      </c>
      <c r="H4" s="21"/>
      <c r="I4" s="21"/>
      <c r="J4" s="21"/>
      <c r="K4" s="21" t="s">
        <v>24</v>
      </c>
      <c r="L4" s="21"/>
      <c r="M4" s="21"/>
    </row>
    <row r="5" spans="1:13" ht="62" customHeight="1" x14ac:dyDescent="0.45">
      <c r="A5" s="23" t="s">
        <v>138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</row>
    <row r="6" spans="1:13" x14ac:dyDescent="0.35">
      <c r="A6" s="20" t="s">
        <v>98</v>
      </c>
      <c r="B6" s="21"/>
      <c r="C6" s="21" t="s">
        <v>24</v>
      </c>
      <c r="D6" s="21" t="s">
        <v>24</v>
      </c>
      <c r="E6" s="21" t="s">
        <v>24</v>
      </c>
      <c r="F6" s="21" t="s">
        <v>24</v>
      </c>
      <c r="G6" s="21" t="s">
        <v>24</v>
      </c>
      <c r="H6" s="21" t="s">
        <v>24</v>
      </c>
      <c r="I6" s="21" t="s">
        <v>24</v>
      </c>
      <c r="J6" s="21" t="s">
        <v>24</v>
      </c>
      <c r="K6" s="21" t="s">
        <v>24</v>
      </c>
      <c r="L6" s="21" t="s">
        <v>24</v>
      </c>
      <c r="M6" s="21" t="s">
        <v>24</v>
      </c>
    </row>
    <row r="7" spans="1:13" x14ac:dyDescent="0.35">
      <c r="A7" s="20" t="s">
        <v>99</v>
      </c>
      <c r="B7" s="21"/>
      <c r="C7" s="21" t="s">
        <v>24</v>
      </c>
      <c r="D7" s="21" t="s">
        <v>24</v>
      </c>
      <c r="E7" s="21" t="s">
        <v>24</v>
      </c>
      <c r="F7" s="21" t="s">
        <v>24</v>
      </c>
      <c r="G7" s="21" t="s">
        <v>24</v>
      </c>
      <c r="H7" s="21" t="s">
        <v>24</v>
      </c>
      <c r="I7" s="21" t="s">
        <v>24</v>
      </c>
      <c r="J7" s="21" t="s">
        <v>24</v>
      </c>
      <c r="K7" s="21" t="s">
        <v>24</v>
      </c>
      <c r="L7" s="21" t="s">
        <v>24</v>
      </c>
      <c r="M7" s="21" t="s">
        <v>24</v>
      </c>
    </row>
    <row r="8" spans="1:13" ht="55.5" x14ac:dyDescent="0.45">
      <c r="A8" s="23" t="s">
        <v>139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</row>
    <row r="9" spans="1:13" x14ac:dyDescent="0.35">
      <c r="A9" s="20" t="s">
        <v>132</v>
      </c>
      <c r="B9" s="21"/>
      <c r="C9" s="21" t="s">
        <v>24</v>
      </c>
      <c r="D9" s="21"/>
      <c r="E9" s="21" t="s">
        <v>24</v>
      </c>
      <c r="F9" s="21"/>
      <c r="G9" s="21" t="s">
        <v>24</v>
      </c>
      <c r="H9" s="21"/>
      <c r="I9" s="21" t="s">
        <v>24</v>
      </c>
      <c r="J9" s="21"/>
      <c r="K9" s="21" t="s">
        <v>24</v>
      </c>
      <c r="L9" s="21"/>
      <c r="M9" s="21" t="s">
        <v>24</v>
      </c>
    </row>
    <row r="10" spans="1:13" x14ac:dyDescent="0.35">
      <c r="A10" s="20" t="s">
        <v>100</v>
      </c>
      <c r="B10" s="21"/>
      <c r="C10" s="21" t="s">
        <v>24</v>
      </c>
      <c r="D10" s="21"/>
      <c r="E10" s="21" t="s">
        <v>24</v>
      </c>
      <c r="F10" s="21"/>
      <c r="G10" s="21" t="s">
        <v>24</v>
      </c>
      <c r="H10" s="21"/>
      <c r="I10" s="21" t="s">
        <v>24</v>
      </c>
      <c r="J10" s="21"/>
      <c r="K10" s="21" t="s">
        <v>24</v>
      </c>
      <c r="L10" s="21"/>
      <c r="M10" s="21" t="s">
        <v>24</v>
      </c>
    </row>
    <row r="11" spans="1:13" x14ac:dyDescent="0.35">
      <c r="A11" s="20" t="s">
        <v>101</v>
      </c>
      <c r="B11" s="21"/>
      <c r="C11" s="21" t="s">
        <v>24</v>
      </c>
      <c r="D11" s="21"/>
      <c r="E11" s="21" t="s">
        <v>24</v>
      </c>
      <c r="F11" s="21"/>
      <c r="G11" s="21" t="s">
        <v>24</v>
      </c>
      <c r="H11" s="21"/>
      <c r="I11" s="21" t="s">
        <v>24</v>
      </c>
      <c r="J11" s="21"/>
      <c r="K11" s="21" t="s">
        <v>24</v>
      </c>
      <c r="L11" s="21"/>
      <c r="M11" s="21" t="s">
        <v>24</v>
      </c>
    </row>
    <row r="12" spans="1:13" ht="55.5" x14ac:dyDescent="0.45">
      <c r="A12" s="23" t="s">
        <v>143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</row>
    <row r="13" spans="1:13" x14ac:dyDescent="0.35">
      <c r="A13" s="20" t="s">
        <v>129</v>
      </c>
      <c r="B13" s="21"/>
      <c r="C13" s="21"/>
      <c r="D13" s="21" t="s">
        <v>24</v>
      </c>
      <c r="E13" s="21"/>
      <c r="F13" s="21" t="s">
        <v>24</v>
      </c>
      <c r="G13" s="21"/>
      <c r="H13" s="21" t="s">
        <v>24</v>
      </c>
      <c r="I13" s="21"/>
      <c r="J13" s="21" t="s">
        <v>24</v>
      </c>
      <c r="K13" s="21"/>
      <c r="L13" s="21" t="s">
        <v>24</v>
      </c>
      <c r="M13" s="21"/>
    </row>
    <row r="14" spans="1:13" x14ac:dyDescent="0.35">
      <c r="A14" s="20" t="s">
        <v>130</v>
      </c>
      <c r="B14" s="21"/>
      <c r="C14" s="21"/>
      <c r="D14" s="21" t="s">
        <v>24</v>
      </c>
      <c r="E14" s="21"/>
      <c r="F14" s="21" t="s">
        <v>24</v>
      </c>
      <c r="G14" s="21"/>
      <c r="H14" s="21" t="s">
        <v>24</v>
      </c>
      <c r="I14" s="21"/>
      <c r="J14" s="21" t="s">
        <v>24</v>
      </c>
      <c r="K14" s="21"/>
      <c r="L14" s="21" t="s">
        <v>24</v>
      </c>
      <c r="M14" s="21"/>
    </row>
    <row r="15" spans="1:13" x14ac:dyDescent="0.35">
      <c r="A15" s="20" t="s">
        <v>131</v>
      </c>
      <c r="B15" s="21"/>
      <c r="C15" s="21"/>
      <c r="D15" s="21" t="s">
        <v>24</v>
      </c>
      <c r="E15" s="21"/>
      <c r="F15" s="21" t="s">
        <v>24</v>
      </c>
      <c r="G15" s="21"/>
      <c r="H15" s="21" t="s">
        <v>24</v>
      </c>
      <c r="I15" s="21"/>
      <c r="J15" s="21" t="s">
        <v>24</v>
      </c>
      <c r="K15" s="21"/>
      <c r="L15" s="21" t="s">
        <v>24</v>
      </c>
      <c r="M15" s="21"/>
    </row>
    <row r="16" spans="1:13" x14ac:dyDescent="0.35">
      <c r="A16" s="20" t="s">
        <v>133</v>
      </c>
      <c r="B16" s="21"/>
      <c r="C16" s="21"/>
      <c r="D16" s="21" t="s">
        <v>24</v>
      </c>
      <c r="E16" s="21"/>
      <c r="F16" s="21" t="s">
        <v>24</v>
      </c>
      <c r="G16" s="21"/>
      <c r="H16" s="21" t="s">
        <v>24</v>
      </c>
      <c r="I16" s="21"/>
      <c r="J16" s="21" t="s">
        <v>24</v>
      </c>
      <c r="K16" s="21"/>
      <c r="L16" s="21" t="s">
        <v>24</v>
      </c>
      <c r="M16" s="21"/>
    </row>
    <row r="17" spans="1:13" ht="55.5" x14ac:dyDescent="0.45">
      <c r="A17" s="23" t="s">
        <v>142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</row>
    <row r="18" spans="1:13" x14ac:dyDescent="0.35">
      <c r="A18" s="20" t="s">
        <v>102</v>
      </c>
      <c r="B18" s="21"/>
      <c r="C18" s="21"/>
      <c r="D18" s="21"/>
      <c r="E18" s="21" t="s">
        <v>24</v>
      </c>
      <c r="F18" s="21"/>
      <c r="G18" s="21"/>
      <c r="H18" s="21"/>
      <c r="I18" s="21"/>
      <c r="J18" s="21" t="s">
        <v>24</v>
      </c>
      <c r="K18" s="21"/>
      <c r="L18" s="21"/>
      <c r="M18" s="21"/>
    </row>
    <row r="19" spans="1:13" x14ac:dyDescent="0.35">
      <c r="A19" s="20" t="s">
        <v>103</v>
      </c>
      <c r="B19" s="21"/>
      <c r="C19" s="21"/>
      <c r="D19" s="21"/>
      <c r="E19" s="21" t="s">
        <v>24</v>
      </c>
      <c r="F19" s="21"/>
      <c r="G19" s="21"/>
      <c r="H19" s="21"/>
      <c r="I19" s="21"/>
      <c r="J19" s="21" t="s">
        <v>24</v>
      </c>
      <c r="K19" s="21"/>
      <c r="L19" s="21"/>
      <c r="M19" s="21"/>
    </row>
    <row r="20" spans="1:13" x14ac:dyDescent="0.35">
      <c r="A20" s="20" t="s">
        <v>104</v>
      </c>
      <c r="B20" s="21"/>
      <c r="C20" s="21"/>
      <c r="D20" s="21"/>
      <c r="E20" s="21" t="s">
        <v>24</v>
      </c>
      <c r="F20" s="21"/>
      <c r="G20" s="21"/>
      <c r="H20" s="21"/>
      <c r="I20" s="21"/>
      <c r="J20" s="21" t="s">
        <v>24</v>
      </c>
      <c r="K20" s="21"/>
      <c r="L20" s="21"/>
      <c r="M20" s="21"/>
    </row>
    <row r="21" spans="1:13" x14ac:dyDescent="0.35">
      <c r="A21" s="20" t="s">
        <v>105</v>
      </c>
      <c r="B21" s="21"/>
      <c r="C21" s="21"/>
      <c r="D21" s="21"/>
      <c r="E21" s="21" t="s">
        <v>24</v>
      </c>
      <c r="F21" s="21"/>
      <c r="G21" s="21"/>
      <c r="H21" s="21"/>
      <c r="I21" s="21"/>
      <c r="J21" s="21" t="s">
        <v>24</v>
      </c>
      <c r="K21" s="21"/>
      <c r="L21" s="21"/>
      <c r="M21" s="21"/>
    </row>
    <row r="22" spans="1:13" ht="37" x14ac:dyDescent="0.45">
      <c r="A22" s="23" t="s">
        <v>144</v>
      </c>
      <c r="B22" s="50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2"/>
    </row>
    <row r="23" spans="1:13" x14ac:dyDescent="0.35">
      <c r="A23" s="20" t="s">
        <v>106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 t="s">
        <v>24</v>
      </c>
    </row>
    <row r="24" spans="1:13" x14ac:dyDescent="0.35">
      <c r="A24" s="20" t="s">
        <v>107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 t="s">
        <v>24</v>
      </c>
    </row>
    <row r="25" spans="1:13" x14ac:dyDescent="0.35">
      <c r="A25" s="20" t="s">
        <v>108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 t="s">
        <v>24</v>
      </c>
    </row>
    <row r="26" spans="1:13" ht="37" x14ac:dyDescent="0.45">
      <c r="A26" s="23" t="s">
        <v>145</v>
      </c>
      <c r="B26" s="50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2"/>
    </row>
    <row r="27" spans="1:13" x14ac:dyDescent="0.35">
      <c r="A27" s="20" t="s">
        <v>128</v>
      </c>
      <c r="B27" s="21"/>
      <c r="C27" s="21"/>
      <c r="D27" s="21"/>
      <c r="E27" s="21"/>
      <c r="F27" s="21"/>
      <c r="G27" s="21"/>
      <c r="H27" s="21"/>
      <c r="I27" s="21" t="s">
        <v>24</v>
      </c>
      <c r="J27" s="21"/>
      <c r="K27" s="21"/>
      <c r="L27" s="21"/>
      <c r="M27" s="21"/>
    </row>
    <row r="28" spans="1:13" x14ac:dyDescent="0.35">
      <c r="A28" s="22" t="s">
        <v>135</v>
      </c>
      <c r="B28" s="21"/>
      <c r="C28" s="21" t="s">
        <v>24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1:13" x14ac:dyDescent="0.35">
      <c r="A29" s="20" t="s">
        <v>134</v>
      </c>
      <c r="B29" s="21"/>
      <c r="C29" s="21"/>
      <c r="D29" s="21"/>
      <c r="E29" s="21"/>
      <c r="F29" s="21" t="s">
        <v>24</v>
      </c>
      <c r="G29" s="21"/>
      <c r="H29" s="21"/>
      <c r="I29" s="21"/>
      <c r="J29" s="21"/>
      <c r="K29" s="21"/>
      <c r="L29" s="21"/>
      <c r="M29" s="21"/>
    </row>
    <row r="30" spans="1:13" x14ac:dyDescent="0.35">
      <c r="A30" s="20" t="s">
        <v>127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 t="s">
        <v>24</v>
      </c>
      <c r="M30" s="21"/>
    </row>
    <row r="31" spans="1:13" ht="37" x14ac:dyDescent="0.45">
      <c r="A31" s="23" t="s">
        <v>146</v>
      </c>
      <c r="B31" s="5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2"/>
    </row>
    <row r="32" spans="1:13" x14ac:dyDescent="0.35">
      <c r="A32" s="20" t="s">
        <v>109</v>
      </c>
      <c r="B32" s="21"/>
      <c r="C32" s="21"/>
      <c r="D32" s="21"/>
      <c r="E32" s="21"/>
      <c r="F32" s="21" t="s">
        <v>24</v>
      </c>
      <c r="G32" s="21"/>
      <c r="H32" s="21"/>
      <c r="I32" s="21"/>
      <c r="J32" s="21"/>
      <c r="K32" s="21"/>
      <c r="L32" s="21"/>
      <c r="M32" s="21"/>
    </row>
    <row r="33" spans="1:13" x14ac:dyDescent="0.35">
      <c r="A33" s="20" t="s">
        <v>110</v>
      </c>
      <c r="B33" s="21"/>
      <c r="C33" s="21"/>
      <c r="D33" s="21"/>
      <c r="E33" s="21"/>
      <c r="F33" s="21" t="s">
        <v>24</v>
      </c>
      <c r="G33" s="21"/>
      <c r="H33" s="21"/>
      <c r="I33" s="21"/>
      <c r="J33" s="21"/>
      <c r="K33" s="21"/>
      <c r="L33" s="21"/>
      <c r="M33" s="21"/>
    </row>
    <row r="34" spans="1:13" x14ac:dyDescent="0.35">
      <c r="A34" s="20" t="s">
        <v>111</v>
      </c>
      <c r="B34" s="21"/>
      <c r="C34" s="21"/>
      <c r="D34" s="21"/>
      <c r="E34" s="21"/>
      <c r="F34" s="21" t="s">
        <v>24</v>
      </c>
      <c r="G34" s="21"/>
      <c r="H34" s="21"/>
      <c r="I34" s="21"/>
      <c r="J34" s="21"/>
      <c r="K34" s="21"/>
      <c r="L34" s="21"/>
      <c r="M34" s="21"/>
    </row>
    <row r="35" spans="1:13" x14ac:dyDescent="0.35">
      <c r="A35" s="20" t="s">
        <v>112</v>
      </c>
      <c r="B35" s="21"/>
      <c r="C35" s="21"/>
      <c r="D35" s="21"/>
      <c r="E35" s="21"/>
      <c r="F35" s="21" t="s">
        <v>24</v>
      </c>
      <c r="G35" s="21"/>
      <c r="H35" s="21"/>
      <c r="I35" s="21"/>
      <c r="J35" s="21"/>
      <c r="K35" s="21"/>
      <c r="L35" s="21"/>
      <c r="M35" s="21"/>
    </row>
    <row r="36" spans="1:13" ht="37" x14ac:dyDescent="0.45">
      <c r="A36" s="23" t="s">
        <v>147</v>
      </c>
      <c r="B36" s="5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2"/>
    </row>
    <row r="37" spans="1:13" x14ac:dyDescent="0.35">
      <c r="A37" s="20" t="s">
        <v>113</v>
      </c>
      <c r="B37" s="21"/>
      <c r="C37" s="21"/>
      <c r="D37" s="21" t="s">
        <v>24</v>
      </c>
      <c r="E37" s="21"/>
      <c r="F37" s="21"/>
      <c r="G37" s="21" t="s">
        <v>24</v>
      </c>
      <c r="H37" s="21"/>
      <c r="I37" s="21"/>
      <c r="J37" s="21" t="s">
        <v>24</v>
      </c>
      <c r="K37" s="21"/>
      <c r="L37" s="21"/>
      <c r="M37" s="21" t="s">
        <v>24</v>
      </c>
    </row>
    <row r="38" spans="1:13" x14ac:dyDescent="0.35">
      <c r="A38" s="20" t="s">
        <v>136</v>
      </c>
      <c r="B38" s="21"/>
      <c r="C38" s="21"/>
      <c r="D38" s="21" t="s">
        <v>24</v>
      </c>
      <c r="E38" s="21"/>
      <c r="F38" s="21"/>
      <c r="G38" s="21" t="s">
        <v>24</v>
      </c>
      <c r="H38" s="21"/>
      <c r="I38" s="21"/>
      <c r="J38" s="21" t="s">
        <v>24</v>
      </c>
      <c r="K38" s="21"/>
      <c r="L38" s="21"/>
      <c r="M38" s="21" t="s">
        <v>24</v>
      </c>
    </row>
    <row r="39" spans="1:13" x14ac:dyDescent="0.35">
      <c r="A39" s="20" t="s">
        <v>114</v>
      </c>
      <c r="B39" s="21"/>
      <c r="C39" s="21"/>
      <c r="D39" s="21" t="s">
        <v>24</v>
      </c>
      <c r="E39" s="21"/>
      <c r="F39" s="21"/>
      <c r="G39" s="21" t="s">
        <v>24</v>
      </c>
      <c r="H39" s="21"/>
      <c r="I39" s="21"/>
      <c r="J39" s="21" t="s">
        <v>24</v>
      </c>
      <c r="K39" s="21"/>
      <c r="L39" s="21"/>
      <c r="M39" s="21" t="s">
        <v>24</v>
      </c>
    </row>
  </sheetData>
  <mergeCells count="9">
    <mergeCell ref="B26:M26"/>
    <mergeCell ref="B31:M31"/>
    <mergeCell ref="B36:M36"/>
    <mergeCell ref="B22:M22"/>
    <mergeCell ref="B2:M2"/>
    <mergeCell ref="B5:M5"/>
    <mergeCell ref="B8:M8"/>
    <mergeCell ref="B12:M12"/>
    <mergeCell ref="B17:M17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Visitas Gerenciales</vt:lpstr>
      <vt:lpstr>Reuniones HSEQ</vt:lpstr>
      <vt:lpstr>Auditorias</vt:lpstr>
      <vt:lpstr>ONboard Ingresantes</vt:lpstr>
      <vt:lpstr>Cultura PSM</vt:lpstr>
      <vt:lpstr>'ONboard Ingresantes'!Marcar1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Ariel Costallat</cp:lastModifiedBy>
  <cp:lastPrinted>2026-01-21T17:55:35Z</cp:lastPrinted>
  <dcterms:created xsi:type="dcterms:W3CDTF">2024-01-30T12:08:20Z</dcterms:created>
  <dcterms:modified xsi:type="dcterms:W3CDTF">2026-08-19T11:39:25Z</dcterms:modified>
</cp:coreProperties>
</file>