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S:\Sistema de Gestion\1 SG Documentos\PG-SN-02 Gestión de las personas\"/>
    </mc:Choice>
  </mc:AlternateContent>
  <bookViews>
    <workbookView xWindow="0" yWindow="0" windowWidth="20490" windowHeight="7550" activeTab="1"/>
  </bookViews>
  <sheets>
    <sheet name="Formato" sheetId="5" r:id="rId1"/>
    <sheet name="SL" sheetId="2" r:id="rId2"/>
    <sheet name="Hoja1" sheetId="4"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 i="5" l="1"/>
  <c r="G6" i="5"/>
  <c r="G7" i="5"/>
  <c r="G8" i="5"/>
  <c r="G9" i="5"/>
  <c r="G10" i="5"/>
  <c r="G11" i="5"/>
  <c r="G12" i="5"/>
  <c r="G13" i="5"/>
  <c r="G4" i="5"/>
  <c r="G6" i="2"/>
  <c r="G7" i="2"/>
  <c r="G8" i="2"/>
  <c r="G9" i="2"/>
  <c r="G10" i="2"/>
  <c r="G11" i="2"/>
  <c r="G12" i="2"/>
  <c r="G13" i="2"/>
  <c r="G5" i="2"/>
  <c r="G4" i="2"/>
</calcChain>
</file>

<file path=xl/sharedStrings.xml><?xml version="1.0" encoding="utf-8"?>
<sst xmlns="http://schemas.openxmlformats.org/spreadsheetml/2006/main" count="108" uniqueCount="78">
  <si>
    <t>III</t>
  </si>
  <si>
    <t>AYUDANTE DE TAREAS GENERALES</t>
  </si>
  <si>
    <t>IV</t>
  </si>
  <si>
    <t>AYUDANTE SLICK LINE</t>
  </si>
  <si>
    <t>V</t>
  </si>
  <si>
    <t>AUXILIAR DE SLICK LINE</t>
  </si>
  <si>
    <t>VI</t>
  </si>
  <si>
    <t>VII</t>
  </si>
  <si>
    <t>MEDIO OFICIAL REPARADOR DE HERRAMIENTAS DE POZO</t>
  </si>
  <si>
    <t>VIII</t>
  </si>
  <si>
    <t>CHOFER GUINCHERO SLICK LINE</t>
  </si>
  <si>
    <t>IX</t>
  </si>
  <si>
    <t xml:space="preserve">CHOFER GUINCHERO EXPERIMENTADO </t>
  </si>
  <si>
    <t>X</t>
  </si>
  <si>
    <t>CHOFER OPERADOR ESPECIALIZADO EN PESCA NIVEL 2</t>
  </si>
  <si>
    <t>XI</t>
  </si>
  <si>
    <t xml:space="preserve">CHOFER GUINCHERO PRINCIPAL </t>
  </si>
  <si>
    <t>XII</t>
  </si>
  <si>
    <t>3 años de experiencia como Chofer Guinchero slick line</t>
  </si>
  <si>
    <t>4 años de experiencia como Ayudante de slick line</t>
  </si>
  <si>
    <t>CHOFER WIRE LINE / OPERADOR DE MASTIL - PLUMA</t>
  </si>
  <si>
    <t>5 años de experiencia como Ayudante de slick line</t>
  </si>
  <si>
    <t>4 años de experiencia como Chofer Guinchero slick line</t>
  </si>
  <si>
    <t xml:space="preserve">Ingresante con poca experiencia. </t>
  </si>
  <si>
    <t>1 año de experiencia como Ayudante de tareas generales</t>
  </si>
  <si>
    <t>{0-1}</t>
  </si>
  <si>
    <t>{1-3}</t>
  </si>
  <si>
    <t>{3-4}</t>
  </si>
  <si>
    <t>{4-5}</t>
  </si>
  <si>
    <t>{5-8}</t>
  </si>
  <si>
    <t>{8-10}</t>
  </si>
  <si>
    <t>{10-12}</t>
  </si>
  <si>
    <t>{12-14}</t>
  </si>
  <si>
    <t>{14-20}</t>
  </si>
  <si>
    <t>{+20}</t>
  </si>
  <si>
    <t>Ay gral</t>
  </si>
  <si>
    <t>Ay SL</t>
  </si>
  <si>
    <t>OP</t>
  </si>
  <si>
    <t>Carrera slick liner</t>
  </si>
  <si>
    <t>Categoría</t>
  </si>
  <si>
    <t>MAESTRO ESPECIALIZADO SLICK LINE</t>
  </si>
  <si>
    <t>Experiencia
acumulada</t>
  </si>
  <si>
    <t>3 años de experiencia como Ayudante de slick line.  
5 años en total entre ayudante tareas generales y ayudante de slick line.</t>
  </si>
  <si>
    <t>10 años de experiencia en operaciones de slick line
(minimo 5 años como Chofer guinchero o Chofer Experimentado)</t>
  </si>
  <si>
    <t>15 años o mas de experiencia en operaciones de
slick line (minimo 10 años como Chofer Guinchero, Experimentado o Principal).</t>
  </si>
  <si>
    <t>Conocimientos</t>
  </si>
  <si>
    <t>Cumplir con IX; Jefe de Operadores experto con relevo a Supervisores</t>
  </si>
  <si>
    <t>Cumplir con X; Jefe de Operadores experto con relevo a Supervisores.</t>
  </si>
  <si>
    <t>Cumplir con X;  Jefe de Operadores experto con relevo a Supervisores.</t>
  </si>
  <si>
    <t>Experiencia (años)</t>
  </si>
  <si>
    <t xml:space="preserve">Cumplir con Cat. IV;  Manejo de Tapones Básicos Baker (F y R) y Halliburton (X y XN - R y RN). Mantenimiento de PCE, conocimiento sobre: armado y desarmado, qué buscar y qué reemplazar en el mantenimiento. Prueba de presión de equipamiento en función de presión máxima esperada en BDP.
Cálculo de punta de alambre en pesca.
Entendendimiento basico de Circuito Hidráulico Operativo. </t>
  </si>
  <si>
    <t xml:space="preserve">Cumplir con Cat. III; 
Curso básico Slick Line. Manejo e interpretación de Memory-Gauges (identificación de nivel de fluido y enfriamiento). Conocimientos de sistema Gas Lift y Recuperación Secundaria. Calibración y armado / desarmado de Válvulas de Gas Lift y Recuperación Secundaria. Descripción del PCE completo (roscas; Bridas, etc.)
Lectura de un Bloque de Impresión
Técnicas de Operación de Herramientas de Slickline.
Torqueo de brida con torqueadora y engrase de válvulas. 
Lectura e interpretación de Esquema de Pozo y survey de desviación. </t>
  </si>
  <si>
    <r>
      <t xml:space="preserve">Montaje y desmontaje de PCE. Conocimientos de Herramientas Básicas de Slickline. 
Descripción básica de tipos de operaciones en Slickline. 
Ensayos de alambre de Slickline. Resultados. Tipos de Alambres y cuál es su uso. (H2S y CO2)
Curso torquímetro
Carga de Indicador de Peso.
Conocimiento de medidas de PCE y Tren de Herramientas.
Conciencia en Seguridad y Contingencia. 
</t>
    </r>
    <r>
      <rPr>
        <sz val="11"/>
        <rFont val="Calibri"/>
        <family val="2"/>
        <scheme val="minor"/>
      </rPr>
      <t>Técnicas de manipuleo y montaje.
Unidades de medición, factores de conversión de unidades.
Lectura de calibre de medición mecánico (Pie de Rey)</t>
    </r>
  </si>
  <si>
    <t>Cumplir con V; . Entrenamiento de Operador Guinchero, comienza a usar el Guinche. Conteo de horas/Guinche y complejidad de Operaciones.
Confección de Informe de Campo
Conocimiento de pesca de Alambre y Pesca de Tren de Herramientas o piezas sueltas.
Cálculo de cantidad de Barras de Peso vs presión en boca de pozo.
Conocimiento de liberación de herramientas (dirección de corte de pin, material del pin)
Determina el Tren de Herramientas óptimo para operar en condiciones seguras.
Lee correctamente un diagrama de pozo, identifica donde se encuentran todos los elementos de completación y su diámetro interior y/o Drift para asegurar el libre descenso del Cuchillo Calibrador.
Selecciona correctamente el Cuchillo Calibrador necesario para la operación y confirma su diámetro exterior usando calibre Vernier.
Chofer de camiones.</t>
  </si>
  <si>
    <t>Cumplir con VI; 
Comienza entrenamiento para Operador de Guinche.
Realiza relevos de Operadores.
Recupera Alambre y/o Tren de Herramientas o piezas sueltas en pesca.
Cálculos de presión (en maniobras de pesca de tapones, etc)
Orientación al Cliente.</t>
  </si>
  <si>
    <r>
      <t xml:space="preserve">Cumplir con VII; Operador
</t>
    </r>
    <r>
      <rPr>
        <sz val="11"/>
        <rFont val="Calibri"/>
        <family val="2"/>
        <scheme val="minor"/>
      </rPr>
      <t>Elaboración de Permisos de Trabajo y Análisis de Trabajo Seguro.</t>
    </r>
    <r>
      <rPr>
        <sz val="11"/>
        <color theme="1"/>
        <rFont val="Calibri"/>
        <family val="2"/>
        <scheme val="minor"/>
      </rPr>
      <t xml:space="preserve">
Cálculo de presión parcial de H2S y CO2, determinación de uso de alambre de acero al carbono o inoxidable. 
Fijación y recuperación de dispositivos (tapones, Válvulas, etc) Pistoneo de pozos. 
Desarrollo del Personal.
Recuperacion y fijacion  de tapones mecánicos Peak  para diferentes instalaciones (2 7/8", 3 1/2", 4 1/2").</t>
    </r>
  </si>
  <si>
    <t>Cumplir con VIII; Jefe de Operadores.
Fijación y recuperación de Tapones mecánicos Peak tipo V5
Perforación de tiubing con  punzadora Tubing Punch</t>
  </si>
  <si>
    <t xml:space="preserve">Cumplir con V; . Entrenamiento de Operador Guinchero, comienza a usar el Guinche. Conteo de horas/Guinche y complejidad de Operaciones.
Confección de Informe de Campo; Carga de partes en OW.
Conocimiento de pesca de Alambre y Pesca de Tren de Herramientas o piezas sueltas.
Cálculo de cantidad de Barras de Peso vs presión en boca de pozo.
Conocimiento de liberación de herramientas (dirección de corte de pin, material del pin)
Determina el Tren de Herramientas óptimo para operar en condiciones seguras.
Lee correctamente un diagrama de pozo, identifica donde se encuentran todos los elementos de completación y su diámetro interior y/o Drift para asegurar el libre descenso del Cuchillo Calibre.
Selecciona correctamente el Cuchillo Calibre necesario para la operación y confirma su diámetro exterior usando calibre Vernier.
Trabajar sobre las practicas para el liderazgo en el servicio. </t>
  </si>
  <si>
    <t>Cumplir con X; Jefe de Operadores experto con relevo a Supervisores.
Participar en el diseño de Operaciones de Slick line.</t>
  </si>
  <si>
    <t xml:space="preserve">CHOFER SLICK LINE </t>
  </si>
  <si>
    <t>Cumplir con Cat. III; 
Cursos básicos Slick Line. Conocimientos de sistema Gas Lift y Recuperación Secundaria. Calibración y armado / desarmado de Válvulas de Gas Lift y Recuperación Secundaria. Descripción de ECP completo (roscas; Bridas,Crossover, etc.)
Lectura de un Bloque de Impresión.
Técnicas de Operación de Herramientas de Slick line.
Torqueo de brida con torqueadora hidráulica. 
Lectura e interpretación de Esquema de Pozo y survey de desviación. Aplicacion del Procedimiento Operativo del Servicio de Slick line.</t>
  </si>
  <si>
    <t xml:space="preserve">Cumplir con Cat. IV;  Manejo de Tapones, Utilizacion y mantenimiento de los mismos: Baker (FSG; FWG; RZG); Halliburton (X y XN - R y RN) y Otis Tipo"W".
Conocimiento, despiece/mantenimiento y utilizacion del Hidraulic oil Jar ( Tijera Hidraulica ).
Correcto mantenimiento y Armado de Hydrostatic Bailers ( Chupador Hidrostatico).
Mantenimiento de ECP, conocimiento sobre: armado y desarmado, qué buscar y qué reemplazar en el mantenimiento. Prueba de presión de equipamiento en función de presión máxima esperada en BDP ( Hermeticidad)
Manejo e interpretación de Memory-Gauges (identificación de nivel de fluido y enfriamiento). 
Correcta utilizacion del equipo de medicion XIYIQINYO y Benchmark (Programacion, Recoleccion de Datos, etc).
Cálculo e identificacion de punta de alambre en pesca.
Entendendimiento basico de Circuito Hidráulico Operativo. </t>
  </si>
  <si>
    <r>
      <t xml:space="preserve">Cumplir con VII; Operador.
</t>
    </r>
    <r>
      <rPr>
        <sz val="11"/>
        <rFont val="Calibri"/>
        <family val="2"/>
        <scheme val="minor"/>
      </rPr>
      <t>Elaboración de Permisos de Trabajo y Análisis de Trabajo Seguro.</t>
    </r>
    <r>
      <rPr>
        <sz val="11"/>
        <color theme="1"/>
        <rFont val="Calibri"/>
        <family val="2"/>
        <scheme val="minor"/>
      </rPr>
      <t xml:space="preserve">
Interpretar concentración de H2S y CO2 presentes en pozo, determinación de uso de alambre de acero al carbono o inoxidable. 
Fijación y recuperación de dispositivos (tapones, Válvulas, Conjunto de Punger Lift, etc) 
Conocer sobre el trabajo de Pistoneo de pozos, criterios operativos y consideraciones tecnicas de seguridad. 
Desarrollo del Personal a Cargo.
Recuperacion y fijacion  de tapones mecánicos Peak  para diferentes instalaciones (2 7/8", 3 1/2", 4 1/2").</t>
    </r>
  </si>
  <si>
    <t>Cumplir con VI; Operador Jr.
Comienza entrenamiento para Operador del Guinche.
Realiza relevos de Operadores.
Recupera Alambre y/o Tren de Herramientas o piezas sueltas en pesca.
Cálculos de presión Hidroestatica (en maniobras de pesca de tapones, Valvulas de Cierre en Fondo, Camisas deslizantes, Herramientas de Subsuelo, etc)
Observaciones y consideraciones en todos los detalles tecnicos al desarrollo operativo. 
Orientación al Cliente,  Recomendaciones Prácticas y Profesionales.</t>
  </si>
  <si>
    <t>Cumplir con VIII; Jefe de Operadores.
Fijación y recuperación de Tapones mecánicos  Baker, Otis, Halliburton, Peak tipo V5.
Perforación de tubing con punzadora Tubing Punch</t>
  </si>
  <si>
    <t>Cumplir con IX; Jefe de Operadores experto con relevo a Supervisores. 
Certificación de Well Control Vigente.
Manejo de Herramientas Informáticas.
Manejo de Herramientas Electrónicas (PLT/ Caliper).
Resolución de conflictos.</t>
  </si>
  <si>
    <t xml:space="preserve">Cumplir con X;  Jefe de Operadores experto con relevo a Supervisores. 
Conocimiento en Ingles técnico y Conversacional.
Diseñar Operaciones de Slick line.
</t>
  </si>
  <si>
    <t>PGSN02-F11
Rev.01
Jul.2025</t>
  </si>
  <si>
    <t>Requisitos</t>
  </si>
  <si>
    <t xml:space="preserve">Puesto: </t>
  </si>
  <si>
    <t>Fecha de actualización:</t>
  </si>
  <si>
    <t>2 años de experiencia como Medio oficial reparador de herramientas</t>
  </si>
  <si>
    <t>PLAN DE CARRERA</t>
  </si>
  <si>
    <t>Puesto 1</t>
  </si>
  <si>
    <t>Puesto 2</t>
  </si>
  <si>
    <t>Puesto 3</t>
  </si>
  <si>
    <r>
      <t xml:space="preserve">Montaje y desmontaje de equipo de Slick line,  posicionamiento de Pluma e Hidrogrua segun normas y procedimientos. 
Correcta utilizacion del ECP. Conocimientos de Herramientas Básicas de Slickline encontradas en el Manual de Operaciones.
Conocimiento del Procedimiento Operativo del Servicio de Slick line.
Descripción básica de tipos de operaciones en Slickline. 
Ensayos de alambre de Slick line. Resultados. Tipos de Alambres y cuál es su uso. (H2S y CO2)
Curso de torque Hidraulico.
Carga/purgado de Indicador de Peso Martin Decker.
Conocimiento de medidas de ECP y Tren de Herramientas.
Conciencia en Seguridad y Contingencia dando cumplimiento al IPCR y politicas de HSEQ.
</t>
    </r>
    <r>
      <rPr>
        <sz val="11"/>
        <rFont val="Calibri"/>
        <family val="2"/>
        <scheme val="minor"/>
      </rPr>
      <t>Técnicas de manipuleo y montaje. Uso seguro de herramientas de mano.
Unidades de medición, factores de conversión de unidades.
Lectura de calibre de medición mecánico (Vernier).</t>
    </r>
    <r>
      <rPr>
        <sz val="11"/>
        <color theme="1"/>
        <rFont val="Calibri"/>
        <family val="2"/>
        <scheme val="minor"/>
      </rPr>
      <t xml:space="preserve"> </t>
    </r>
  </si>
  <si>
    <t>Slick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</si>
</sst>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name val="Calibri"/>
      <family val="2"/>
      <scheme val="minor"/>
    </font>
    <font>
      <sz val="16"/>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1">
    <xf numFmtId="0" fontId="0" fillId="0" borderId="0"/>
  </cellStyleXfs>
  <cellXfs count="48">
    <xf numFmtId="0" fontId="0" fillId="0" borderId="0" xfId="0"/>
    <xf numFmtId="0" fontId="0" fillId="0" borderId="0" xfId="0" applyAlignment="1">
      <alignment horizontal="center"/>
    </xf>
    <xf numFmtId="0" fontId="0" fillId="2" borderId="1" xfId="0"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vertical="center"/>
    </xf>
    <xf numFmtId="0" fontId="0" fillId="2" borderId="2" xfId="0" applyFill="1" applyBorder="1" applyAlignment="1">
      <alignment horizontal="center" vertical="center"/>
    </xf>
    <xf numFmtId="0" fontId="0" fillId="0" borderId="2" xfId="0" applyBorder="1" applyAlignment="1">
      <alignment vertical="center" wrapText="1"/>
    </xf>
    <xf numFmtId="0" fontId="0" fillId="0" borderId="1" xfId="0" applyFill="1" applyBorder="1" applyAlignment="1">
      <alignment horizontal="center" vertical="center"/>
    </xf>
    <xf numFmtId="0" fontId="0" fillId="2" borderId="2" xfId="0" applyFill="1" applyBorder="1" applyAlignment="1">
      <alignment horizontal="center" vertical="center" wrapText="1"/>
    </xf>
    <xf numFmtId="0" fontId="0" fillId="2" borderId="1" xfId="0" applyFill="1" applyBorder="1" applyAlignment="1">
      <alignment horizontal="center" vertical="center" wrapText="1"/>
    </xf>
    <xf numFmtId="0" fontId="1" fillId="0" borderId="1" xfId="0" applyFont="1" applyBorder="1" applyAlignment="1">
      <alignment vertical="center" wrapText="1"/>
    </xf>
    <xf numFmtId="0" fontId="0" fillId="0" borderId="2" xfId="0" applyBorder="1" applyAlignment="1">
      <alignment horizontal="center" vertical="center" wrapText="1"/>
    </xf>
    <xf numFmtId="0" fontId="0" fillId="2" borderId="5" xfId="0" applyFill="1" applyBorder="1" applyAlignment="1">
      <alignment horizontal="center" vertical="center"/>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xf>
    <xf numFmtId="0" fontId="0" fillId="0" borderId="1" xfId="0" applyFont="1"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10" xfId="0" applyFont="1" applyBorder="1" applyAlignment="1">
      <alignment vertical="center"/>
    </xf>
    <xf numFmtId="0" fontId="0" fillId="0" borderId="1" xfId="0" applyFont="1" applyBorder="1" applyAlignment="1">
      <alignment vertical="center"/>
    </xf>
    <xf numFmtId="0" fontId="0" fillId="0" borderId="15" xfId="0" applyBorder="1" applyAlignment="1">
      <alignment horizontal="center" vertical="center"/>
    </xf>
    <xf numFmtId="0" fontId="0" fillId="0" borderId="1" xfId="0" applyFill="1" applyBorder="1" applyAlignment="1">
      <alignment horizontal="left" vertical="center" wrapText="1"/>
    </xf>
    <xf numFmtId="0" fontId="0" fillId="0" borderId="4" xfId="0" applyFill="1" applyBorder="1" applyAlignment="1">
      <alignment horizontal="left" vertical="center" wrapText="1"/>
    </xf>
    <xf numFmtId="0" fontId="0" fillId="0" borderId="7" xfId="0" applyFill="1" applyBorder="1" applyAlignment="1">
      <alignment horizontal="left" vertical="center" wrapText="1"/>
    </xf>
    <xf numFmtId="0" fontId="0" fillId="0" borderId="8" xfId="0" applyFill="1" applyBorder="1" applyAlignment="1">
      <alignment horizontal="left" vertical="center" wrapText="1"/>
    </xf>
    <xf numFmtId="0" fontId="0" fillId="0" borderId="3" xfId="0"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0" borderId="4" xfId="0" applyFill="1"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2" fillId="0" borderId="13"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3"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1" xfId="0" applyFont="1" applyBorder="1" applyAlignment="1">
      <alignment horizontal="center" vertical="center"/>
    </xf>
    <xf numFmtId="0" fontId="0" fillId="0" borderId="4" xfId="0" applyFont="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0" xfId="0" applyBorder="1" applyAlignment="1">
      <alignment horizontal="center" vertical="center" wrapText="1"/>
    </xf>
    <xf numFmtId="17" fontId="0"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204304</xdr:colOff>
      <xdr:row>0</xdr:row>
      <xdr:rowOff>121479</xdr:rowOff>
    </xdr:from>
    <xdr:to>
      <xdr:col>1</xdr:col>
      <xdr:colOff>1041952</xdr:colOff>
      <xdr:row>0</xdr:row>
      <xdr:rowOff>731079</xdr:rowOff>
    </xdr:to>
    <xdr:pic>
      <xdr:nvPicPr>
        <xdr:cNvPr id="2" name="Imagen 1" descr="C:\Users\coordinadorhseq\AppData\Local\Packages\Microsoft.Windows.Photos_8wekyb3d8bbwe\TempState\ShareServiceTempFolder\naser imagen.jpe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304" y="121479"/>
          <a:ext cx="1136098"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204304</xdr:colOff>
      <xdr:row>0</xdr:row>
      <xdr:rowOff>121479</xdr:rowOff>
    </xdr:from>
    <xdr:to>
      <xdr:col>1</xdr:col>
      <xdr:colOff>1041952</xdr:colOff>
      <xdr:row>0</xdr:row>
      <xdr:rowOff>731079</xdr:rowOff>
    </xdr:to>
    <xdr:pic>
      <xdr:nvPicPr>
        <xdr:cNvPr id="2" name="Imagen 1" descr="C:\Users\coordinadorhseq\AppData\Local\Packages\Microsoft.Windows.Photos_8wekyb3d8bbwe\TempState\ShareServiceTempFolder\naser imagen.jpe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304" y="121479"/>
          <a:ext cx="1135822"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zoomScale="115" zoomScaleNormal="115" workbookViewId="0">
      <selection activeCell="E18" sqref="E18"/>
    </sheetView>
  </sheetViews>
  <sheetFormatPr baseColWidth="10" defaultColWidth="9.1796875" defaultRowHeight="14.5" x14ac:dyDescent="0.35"/>
  <cols>
    <col min="1" max="1" width="4.26953125" bestFit="1" customWidth="1"/>
    <col min="2" max="2" width="23.453125" customWidth="1"/>
    <col min="3" max="3" width="11.7265625" style="1" customWidth="1"/>
    <col min="4" max="6" width="7.6328125" style="1" customWidth="1"/>
    <col min="7" max="7" width="13.1796875" style="1" customWidth="1"/>
    <col min="8" max="8" width="37" customWidth="1"/>
    <col min="9" max="9" width="41.6328125" style="5" customWidth="1"/>
  </cols>
  <sheetData>
    <row r="1" spans="1:11" ht="67.5" customHeight="1" x14ac:dyDescent="0.35">
      <c r="A1" s="33"/>
      <c r="B1" s="34"/>
      <c r="C1" s="35" t="s">
        <v>72</v>
      </c>
      <c r="D1" s="35"/>
      <c r="E1" s="35"/>
      <c r="F1" s="35"/>
      <c r="G1" s="35"/>
      <c r="H1" s="35"/>
      <c r="I1" s="35"/>
      <c r="J1" s="36" t="s">
        <v>67</v>
      </c>
      <c r="K1" s="37"/>
    </row>
    <row r="2" spans="1:11" x14ac:dyDescent="0.35">
      <c r="A2" s="38" t="s">
        <v>69</v>
      </c>
      <c r="B2" s="39"/>
      <c r="C2" s="40"/>
      <c r="D2" s="40"/>
      <c r="E2" s="40"/>
      <c r="F2" s="40"/>
      <c r="G2" s="40"/>
      <c r="H2" s="23" t="s">
        <v>70</v>
      </c>
      <c r="I2" s="41"/>
      <c r="J2" s="41"/>
      <c r="K2" s="42"/>
    </row>
    <row r="3" spans="1:11" ht="29" x14ac:dyDescent="0.35">
      <c r="A3" s="29" t="s">
        <v>39</v>
      </c>
      <c r="B3" s="30"/>
      <c r="C3" s="4" t="s">
        <v>49</v>
      </c>
      <c r="D3" s="18" t="s">
        <v>73</v>
      </c>
      <c r="E3" s="18" t="s">
        <v>74</v>
      </c>
      <c r="F3" s="18" t="s">
        <v>75</v>
      </c>
      <c r="G3" s="4" t="s">
        <v>41</v>
      </c>
      <c r="H3" s="19" t="s">
        <v>68</v>
      </c>
      <c r="I3" s="31" t="s">
        <v>45</v>
      </c>
      <c r="J3" s="31"/>
      <c r="K3" s="32"/>
    </row>
    <row r="4" spans="1:11" ht="12" customHeight="1" x14ac:dyDescent="0.35">
      <c r="A4" s="13"/>
      <c r="B4" s="9"/>
      <c r="C4" s="20"/>
      <c r="D4" s="20"/>
      <c r="E4" s="20"/>
      <c r="F4" s="20"/>
      <c r="G4" s="20">
        <f>SUM(D4:F4)</f>
        <v>0</v>
      </c>
      <c r="H4" s="12"/>
      <c r="I4" s="25"/>
      <c r="J4" s="25"/>
      <c r="K4" s="26"/>
    </row>
    <row r="5" spans="1:11" ht="12" customHeight="1" x14ac:dyDescent="0.35">
      <c r="A5" s="14"/>
      <c r="B5" s="10"/>
      <c r="C5" s="18"/>
      <c r="D5" s="18"/>
      <c r="E5" s="18"/>
      <c r="F5" s="18"/>
      <c r="G5" s="20">
        <f t="shared" ref="G5:G13" si="0">SUM(D5:F5)</f>
        <v>0</v>
      </c>
      <c r="H5" s="4"/>
      <c r="I5" s="25"/>
      <c r="J5" s="25"/>
      <c r="K5" s="26"/>
    </row>
    <row r="6" spans="1:11" ht="12" customHeight="1" x14ac:dyDescent="0.35">
      <c r="A6" s="14"/>
      <c r="B6" s="10"/>
      <c r="C6" s="18"/>
      <c r="D6" s="18"/>
      <c r="E6" s="18"/>
      <c r="F6" s="18"/>
      <c r="G6" s="20">
        <f t="shared" si="0"/>
        <v>0</v>
      </c>
      <c r="H6" s="4"/>
      <c r="I6" s="25"/>
      <c r="J6" s="25"/>
      <c r="K6" s="26"/>
    </row>
    <row r="7" spans="1:11" ht="12" customHeight="1" x14ac:dyDescent="0.35">
      <c r="A7" s="14"/>
      <c r="B7" s="10"/>
      <c r="C7" s="18"/>
      <c r="D7" s="18"/>
      <c r="E7" s="18"/>
      <c r="F7" s="18"/>
      <c r="G7" s="20">
        <f t="shared" si="0"/>
        <v>0</v>
      </c>
      <c r="H7" s="4"/>
      <c r="I7" s="25"/>
      <c r="J7" s="25"/>
      <c r="K7" s="26"/>
    </row>
    <row r="8" spans="1:11" ht="12" customHeight="1" x14ac:dyDescent="0.35">
      <c r="A8" s="14"/>
      <c r="B8" s="10"/>
      <c r="C8" s="18"/>
      <c r="D8" s="18"/>
      <c r="E8" s="18"/>
      <c r="F8" s="18"/>
      <c r="G8" s="20">
        <f t="shared" si="0"/>
        <v>0</v>
      </c>
      <c r="H8" s="4"/>
      <c r="I8" s="25"/>
      <c r="J8" s="25"/>
      <c r="K8" s="26"/>
    </row>
    <row r="9" spans="1:11" ht="12" customHeight="1" x14ac:dyDescent="0.35">
      <c r="A9" s="14"/>
      <c r="B9" s="10"/>
      <c r="C9" s="18"/>
      <c r="D9" s="18"/>
      <c r="E9" s="18"/>
      <c r="F9" s="18"/>
      <c r="G9" s="20">
        <f t="shared" si="0"/>
        <v>0</v>
      </c>
      <c r="H9" s="4"/>
      <c r="I9" s="25"/>
      <c r="J9" s="25"/>
      <c r="K9" s="26"/>
    </row>
    <row r="10" spans="1:11" ht="12" customHeight="1" x14ac:dyDescent="0.35">
      <c r="A10" s="14"/>
      <c r="B10" s="10"/>
      <c r="C10" s="4"/>
      <c r="D10" s="18"/>
      <c r="E10" s="18"/>
      <c r="F10" s="18"/>
      <c r="G10" s="20">
        <f t="shared" si="0"/>
        <v>0</v>
      </c>
      <c r="H10" s="4"/>
      <c r="I10" s="25"/>
      <c r="J10" s="25"/>
      <c r="K10" s="26"/>
    </row>
    <row r="11" spans="1:11" ht="12" customHeight="1" x14ac:dyDescent="0.35">
      <c r="A11" s="14"/>
      <c r="B11" s="10"/>
      <c r="C11" s="4"/>
      <c r="D11" s="18"/>
      <c r="E11" s="18"/>
      <c r="F11" s="18"/>
      <c r="G11" s="20">
        <f t="shared" si="0"/>
        <v>0</v>
      </c>
      <c r="H11" s="4"/>
      <c r="I11" s="25"/>
      <c r="J11" s="25"/>
      <c r="K11" s="26"/>
    </row>
    <row r="12" spans="1:11" ht="12" customHeight="1" x14ac:dyDescent="0.35">
      <c r="A12" s="14"/>
      <c r="B12" s="10"/>
      <c r="C12" s="18"/>
      <c r="D12" s="18"/>
      <c r="E12" s="18"/>
      <c r="F12" s="18"/>
      <c r="G12" s="20">
        <f t="shared" si="0"/>
        <v>0</v>
      </c>
      <c r="H12" s="4"/>
      <c r="I12" s="25"/>
      <c r="J12" s="25"/>
      <c r="K12" s="26"/>
    </row>
    <row r="13" spans="1:11" ht="12" customHeight="1" thickBot="1" x14ac:dyDescent="0.4">
      <c r="A13" s="15"/>
      <c r="B13" s="16"/>
      <c r="C13" s="17"/>
      <c r="D13" s="21"/>
      <c r="E13" s="21"/>
      <c r="F13" s="21"/>
      <c r="G13" s="24">
        <f t="shared" si="0"/>
        <v>0</v>
      </c>
      <c r="H13" s="17"/>
      <c r="I13" s="27"/>
      <c r="J13" s="27"/>
      <c r="K13" s="28"/>
    </row>
  </sheetData>
  <mergeCells count="18">
    <mergeCell ref="A1:B1"/>
    <mergeCell ref="C1:I1"/>
    <mergeCell ref="J1:K1"/>
    <mergeCell ref="A2:B2"/>
    <mergeCell ref="C2:G2"/>
    <mergeCell ref="I2:K2"/>
    <mergeCell ref="I13:K13"/>
    <mergeCell ref="A3:B3"/>
    <mergeCell ref="I3:K3"/>
    <mergeCell ref="I4:K4"/>
    <mergeCell ref="I5:K5"/>
    <mergeCell ref="I6:K6"/>
    <mergeCell ref="I7:K7"/>
    <mergeCell ref="I8:K8"/>
    <mergeCell ref="I9:K9"/>
    <mergeCell ref="I10:K10"/>
    <mergeCell ref="I11:K11"/>
    <mergeCell ref="I12:K12"/>
  </mergeCells>
  <pageMargins left="0.7" right="0.7" top="0.75" bottom="0.75" header="0.3" footer="0.3"/>
  <pageSetup paperSize="9" scale="76" fitToHeight="0" orientation="landscape"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
  <sheetViews>
    <sheetView tabSelected="1" zoomScale="115" zoomScaleNormal="115" workbookViewId="0">
      <selection activeCell="P4" sqref="P4"/>
    </sheetView>
  </sheetViews>
  <sheetFormatPr baseColWidth="10" defaultColWidth="9.1796875" defaultRowHeight="14.5" x14ac:dyDescent="0.35"/>
  <cols>
    <col min="1" max="1" width="4.26953125" bestFit="1" customWidth="1"/>
    <col min="2" max="2" width="23.453125" customWidth="1"/>
    <col min="3" max="3" width="11.7265625" style="1" customWidth="1"/>
    <col min="4" max="4" width="7.1796875" style="1" customWidth="1"/>
    <col min="5" max="5" width="5.54296875" style="1" customWidth="1"/>
    <col min="6" max="6" width="3.54296875" style="1" customWidth="1"/>
    <col min="7" max="7" width="13.1796875" style="1" customWidth="1"/>
    <col min="8" max="8" width="37" customWidth="1"/>
    <col min="9" max="9" width="41.6328125" style="5" customWidth="1"/>
  </cols>
  <sheetData>
    <row r="1" spans="1:11" ht="67.5" customHeight="1" x14ac:dyDescent="0.35">
      <c r="A1" s="33"/>
      <c r="B1" s="34"/>
      <c r="C1" s="35" t="s">
        <v>72</v>
      </c>
      <c r="D1" s="35"/>
      <c r="E1" s="35"/>
      <c r="F1" s="35"/>
      <c r="G1" s="35"/>
      <c r="H1" s="35"/>
      <c r="I1" s="35"/>
      <c r="J1" s="36" t="s">
        <v>67</v>
      </c>
      <c r="K1" s="37"/>
    </row>
    <row r="2" spans="1:11" x14ac:dyDescent="0.35">
      <c r="A2" s="38" t="s">
        <v>69</v>
      </c>
      <c r="B2" s="39"/>
      <c r="C2" s="43" t="s">
        <v>77</v>
      </c>
      <c r="D2" s="44"/>
      <c r="E2" s="44"/>
      <c r="F2" s="44"/>
      <c r="G2" s="45"/>
      <c r="H2" s="22" t="s">
        <v>70</v>
      </c>
      <c r="I2" s="47">
        <v>45839</v>
      </c>
      <c r="J2" s="41"/>
      <c r="K2" s="42"/>
    </row>
    <row r="3" spans="1:11" ht="29" x14ac:dyDescent="0.35">
      <c r="A3" s="29" t="s">
        <v>39</v>
      </c>
      <c r="B3" s="30"/>
      <c r="C3" s="4" t="s">
        <v>49</v>
      </c>
      <c r="D3" s="18" t="s">
        <v>35</v>
      </c>
      <c r="E3" s="18" t="s">
        <v>36</v>
      </c>
      <c r="F3" s="18" t="s">
        <v>37</v>
      </c>
      <c r="G3" s="4" t="s">
        <v>41</v>
      </c>
      <c r="H3" s="19" t="s">
        <v>68</v>
      </c>
      <c r="I3" s="31" t="s">
        <v>45</v>
      </c>
      <c r="J3" s="31"/>
      <c r="K3" s="32"/>
    </row>
    <row r="4" spans="1:11" ht="237.5" customHeight="1" x14ac:dyDescent="0.35">
      <c r="A4" s="13" t="s">
        <v>0</v>
      </c>
      <c r="B4" s="9" t="s">
        <v>1</v>
      </c>
      <c r="C4" s="20" t="s">
        <v>25</v>
      </c>
      <c r="D4" s="20">
        <v>1</v>
      </c>
      <c r="E4" s="20"/>
      <c r="F4" s="20"/>
      <c r="G4" s="20">
        <f>SUM(D4:F4)</f>
        <v>1</v>
      </c>
      <c r="H4" s="12" t="s">
        <v>23</v>
      </c>
      <c r="I4" s="25" t="s">
        <v>76</v>
      </c>
      <c r="J4" s="25"/>
      <c r="K4" s="26"/>
    </row>
    <row r="5" spans="1:11" ht="152" customHeight="1" x14ac:dyDescent="0.35">
      <c r="A5" s="14" t="s">
        <v>2</v>
      </c>
      <c r="B5" s="10" t="s">
        <v>3</v>
      </c>
      <c r="C5" s="18" t="s">
        <v>26</v>
      </c>
      <c r="D5" s="18">
        <v>1</v>
      </c>
      <c r="E5" s="18">
        <v>3</v>
      </c>
      <c r="F5" s="18"/>
      <c r="G5" s="20">
        <f>SUM(D5:F5)</f>
        <v>4</v>
      </c>
      <c r="H5" s="4" t="s">
        <v>24</v>
      </c>
      <c r="I5" s="25" t="s">
        <v>60</v>
      </c>
      <c r="J5" s="25"/>
      <c r="K5" s="26"/>
    </row>
    <row r="6" spans="1:11" ht="247.5" customHeight="1" x14ac:dyDescent="0.35">
      <c r="A6" s="14" t="s">
        <v>4</v>
      </c>
      <c r="B6" s="10" t="s">
        <v>5</v>
      </c>
      <c r="C6" s="18" t="s">
        <v>27</v>
      </c>
      <c r="D6" s="18">
        <v>1</v>
      </c>
      <c r="E6" s="18">
        <v>4</v>
      </c>
      <c r="F6" s="18"/>
      <c r="G6" s="20">
        <f t="shared" ref="G6:G13" si="0">SUM(D6:F6)</f>
        <v>5</v>
      </c>
      <c r="H6" s="4" t="s">
        <v>42</v>
      </c>
      <c r="I6" s="25" t="s">
        <v>61</v>
      </c>
      <c r="J6" s="25"/>
      <c r="K6" s="26"/>
    </row>
    <row r="7" spans="1:11" ht="237" customHeight="1" x14ac:dyDescent="0.35">
      <c r="A7" s="14" t="s">
        <v>6</v>
      </c>
      <c r="B7" s="10" t="s">
        <v>59</v>
      </c>
      <c r="C7" s="18" t="s">
        <v>28</v>
      </c>
      <c r="D7" s="18">
        <v>1</v>
      </c>
      <c r="E7" s="18">
        <v>5</v>
      </c>
      <c r="F7" s="18"/>
      <c r="G7" s="20">
        <f t="shared" si="0"/>
        <v>6</v>
      </c>
      <c r="H7" s="4" t="s">
        <v>19</v>
      </c>
      <c r="I7" s="25" t="s">
        <v>57</v>
      </c>
      <c r="J7" s="25"/>
      <c r="K7" s="26"/>
    </row>
    <row r="8" spans="1:11" ht="145.5" customHeight="1" x14ac:dyDescent="0.35">
      <c r="A8" s="14" t="s">
        <v>7</v>
      </c>
      <c r="B8" s="10" t="s">
        <v>8</v>
      </c>
      <c r="C8" s="18" t="s">
        <v>29</v>
      </c>
      <c r="D8" s="18">
        <v>1</v>
      </c>
      <c r="E8" s="18">
        <v>6</v>
      </c>
      <c r="F8" s="18"/>
      <c r="G8" s="20">
        <f t="shared" si="0"/>
        <v>7</v>
      </c>
      <c r="H8" s="4" t="s">
        <v>21</v>
      </c>
      <c r="I8" s="25" t="s">
        <v>63</v>
      </c>
      <c r="J8" s="25"/>
      <c r="K8" s="26"/>
    </row>
    <row r="9" spans="1:11" ht="163.5" customHeight="1" x14ac:dyDescent="0.35">
      <c r="A9" s="14" t="s">
        <v>9</v>
      </c>
      <c r="B9" s="10" t="s">
        <v>10</v>
      </c>
      <c r="C9" s="18" t="s">
        <v>30</v>
      </c>
      <c r="D9" s="18">
        <v>1</v>
      </c>
      <c r="E9" s="18">
        <v>7</v>
      </c>
      <c r="F9" s="18"/>
      <c r="G9" s="20">
        <f t="shared" si="0"/>
        <v>8</v>
      </c>
      <c r="H9" s="4" t="s">
        <v>71</v>
      </c>
      <c r="I9" s="25" t="s">
        <v>62</v>
      </c>
      <c r="J9" s="25"/>
      <c r="K9" s="26"/>
    </row>
    <row r="10" spans="1:11" ht="62" customHeight="1" x14ac:dyDescent="0.35">
      <c r="A10" s="14" t="s">
        <v>11</v>
      </c>
      <c r="B10" s="10" t="s">
        <v>12</v>
      </c>
      <c r="C10" s="4" t="s">
        <v>31</v>
      </c>
      <c r="D10" s="18">
        <v>1</v>
      </c>
      <c r="E10" s="18">
        <v>6</v>
      </c>
      <c r="F10" s="18">
        <v>3</v>
      </c>
      <c r="G10" s="20">
        <f t="shared" si="0"/>
        <v>10</v>
      </c>
      <c r="H10" s="4" t="s">
        <v>18</v>
      </c>
      <c r="I10" s="25" t="s">
        <v>64</v>
      </c>
      <c r="J10" s="25"/>
      <c r="K10" s="26"/>
    </row>
    <row r="11" spans="1:11" ht="75" customHeight="1" x14ac:dyDescent="0.35">
      <c r="A11" s="14" t="s">
        <v>13</v>
      </c>
      <c r="B11" s="10" t="s">
        <v>14</v>
      </c>
      <c r="C11" s="4" t="s">
        <v>32</v>
      </c>
      <c r="D11" s="18">
        <v>1</v>
      </c>
      <c r="E11" s="18">
        <v>6</v>
      </c>
      <c r="F11" s="18">
        <v>5</v>
      </c>
      <c r="G11" s="20">
        <f t="shared" si="0"/>
        <v>12</v>
      </c>
      <c r="H11" s="4" t="s">
        <v>22</v>
      </c>
      <c r="I11" s="25" t="s">
        <v>65</v>
      </c>
      <c r="J11" s="25"/>
      <c r="K11" s="26"/>
    </row>
    <row r="12" spans="1:11" ht="55.5" customHeight="1" x14ac:dyDescent="0.35">
      <c r="A12" s="14" t="s">
        <v>15</v>
      </c>
      <c r="B12" s="10" t="s">
        <v>16</v>
      </c>
      <c r="C12" s="18" t="s">
        <v>33</v>
      </c>
      <c r="D12" s="18">
        <v>1</v>
      </c>
      <c r="E12" s="18">
        <v>6</v>
      </c>
      <c r="F12" s="18">
        <v>7</v>
      </c>
      <c r="G12" s="20">
        <f t="shared" si="0"/>
        <v>14</v>
      </c>
      <c r="H12" s="4" t="s">
        <v>43</v>
      </c>
      <c r="I12" s="25" t="s">
        <v>58</v>
      </c>
      <c r="J12" s="25"/>
      <c r="K12" s="26"/>
    </row>
    <row r="13" spans="1:11" ht="58.5" thickBot="1" x14ac:dyDescent="0.4">
      <c r="A13" s="15" t="s">
        <v>17</v>
      </c>
      <c r="B13" s="16" t="s">
        <v>40</v>
      </c>
      <c r="C13" s="17" t="s">
        <v>34</v>
      </c>
      <c r="D13" s="21">
        <v>1</v>
      </c>
      <c r="E13" s="21">
        <v>6</v>
      </c>
      <c r="F13" s="21">
        <v>13</v>
      </c>
      <c r="G13" s="20">
        <f t="shared" si="0"/>
        <v>20</v>
      </c>
      <c r="H13" s="17" t="s">
        <v>44</v>
      </c>
      <c r="I13" s="27" t="s">
        <v>66</v>
      </c>
      <c r="J13" s="27"/>
      <c r="K13" s="28"/>
    </row>
  </sheetData>
  <mergeCells count="18">
    <mergeCell ref="A3:B3"/>
    <mergeCell ref="A1:B1"/>
    <mergeCell ref="I3:K3"/>
    <mergeCell ref="J1:K1"/>
    <mergeCell ref="C1:I1"/>
    <mergeCell ref="A2:B2"/>
    <mergeCell ref="I2:K2"/>
    <mergeCell ref="C2:G2"/>
    <mergeCell ref="I4:K4"/>
    <mergeCell ref="I5:K5"/>
    <mergeCell ref="I6:K6"/>
    <mergeCell ref="I7:K7"/>
    <mergeCell ref="I8:K8"/>
    <mergeCell ref="I9:K9"/>
    <mergeCell ref="I10:K10"/>
    <mergeCell ref="I11:K11"/>
    <mergeCell ref="I12:K12"/>
    <mergeCell ref="I13:K13"/>
  </mergeCells>
  <pageMargins left="0.7" right="0.7" top="0.75" bottom="0.75" header="0.3" footer="0.3"/>
  <pageSetup paperSize="9" scale="79" fitToHeight="0" orientation="landscape"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C3" sqref="C3"/>
    </sheetView>
  </sheetViews>
  <sheetFormatPr baseColWidth="10" defaultColWidth="9.1796875" defaultRowHeight="14.5" x14ac:dyDescent="0.35"/>
  <cols>
    <col min="1" max="1" width="4.26953125" bestFit="1" customWidth="1"/>
    <col min="2" max="2" width="23.453125" customWidth="1"/>
    <col min="3" max="3" width="99.54296875" style="5" customWidth="1"/>
  </cols>
  <sheetData>
    <row r="1" spans="1:3" ht="15" customHeight="1" x14ac:dyDescent="0.35">
      <c r="A1" s="46" t="s">
        <v>38</v>
      </c>
      <c r="B1" s="46"/>
      <c r="C1" s="46"/>
    </row>
    <row r="2" spans="1:3" x14ac:dyDescent="0.35">
      <c r="A2" s="30" t="s">
        <v>39</v>
      </c>
      <c r="B2" s="30"/>
      <c r="C2" s="8" t="s">
        <v>45</v>
      </c>
    </row>
    <row r="3" spans="1:3" ht="145" x14ac:dyDescent="0.35">
      <c r="A3" s="6" t="s">
        <v>0</v>
      </c>
      <c r="B3" s="9" t="s">
        <v>1</v>
      </c>
      <c r="C3" s="7" t="s">
        <v>52</v>
      </c>
    </row>
    <row r="4" spans="1:3" ht="116" x14ac:dyDescent="0.35">
      <c r="A4" s="2" t="s">
        <v>2</v>
      </c>
      <c r="B4" s="10" t="s">
        <v>3</v>
      </c>
      <c r="C4" s="11" t="s">
        <v>51</v>
      </c>
    </row>
    <row r="5" spans="1:3" ht="72.5" x14ac:dyDescent="0.35">
      <c r="A5" s="2" t="s">
        <v>4</v>
      </c>
      <c r="B5" s="10" t="s">
        <v>5</v>
      </c>
      <c r="C5" s="3" t="s">
        <v>50</v>
      </c>
    </row>
    <row r="6" spans="1:3" ht="174" x14ac:dyDescent="0.35">
      <c r="A6" s="2" t="s">
        <v>6</v>
      </c>
      <c r="B6" s="10" t="s">
        <v>20</v>
      </c>
      <c r="C6" s="3" t="s">
        <v>53</v>
      </c>
    </row>
    <row r="7" spans="1:3" ht="87" x14ac:dyDescent="0.35">
      <c r="A7" s="2" t="s">
        <v>7</v>
      </c>
      <c r="B7" s="10" t="s">
        <v>8</v>
      </c>
      <c r="C7" s="3" t="s">
        <v>54</v>
      </c>
    </row>
    <row r="8" spans="1:3" ht="87" x14ac:dyDescent="0.35">
      <c r="A8" s="2" t="s">
        <v>9</v>
      </c>
      <c r="B8" s="10" t="s">
        <v>10</v>
      </c>
      <c r="C8" s="3" t="s">
        <v>55</v>
      </c>
    </row>
    <row r="9" spans="1:3" ht="43.5" x14ac:dyDescent="0.35">
      <c r="A9" s="2" t="s">
        <v>11</v>
      </c>
      <c r="B9" s="10" t="s">
        <v>12</v>
      </c>
      <c r="C9" s="3" t="s">
        <v>56</v>
      </c>
    </row>
    <row r="10" spans="1:3" ht="69" customHeight="1" x14ac:dyDescent="0.35">
      <c r="A10" s="2" t="s">
        <v>13</v>
      </c>
      <c r="B10" s="10" t="s">
        <v>14</v>
      </c>
      <c r="C10" s="3" t="s">
        <v>46</v>
      </c>
    </row>
    <row r="11" spans="1:3" ht="29" x14ac:dyDescent="0.35">
      <c r="A11" s="2" t="s">
        <v>15</v>
      </c>
      <c r="B11" s="10" t="s">
        <v>16</v>
      </c>
      <c r="C11" s="3" t="s">
        <v>47</v>
      </c>
    </row>
    <row r="12" spans="1:3" ht="29" x14ac:dyDescent="0.35">
      <c r="A12" s="2" t="s">
        <v>17</v>
      </c>
      <c r="B12" s="10" t="s">
        <v>40</v>
      </c>
      <c r="C12" s="3" t="s">
        <v>48</v>
      </c>
    </row>
  </sheetData>
  <mergeCells count="2">
    <mergeCell ref="A1:C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vt:lpstr>
      <vt:lpstr>SL</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wilog</dc:creator>
  <cp:lastModifiedBy>Coordinador HSEQ</cp:lastModifiedBy>
  <cp:lastPrinted>2025-07-28T13:11:10Z</cp:lastPrinted>
  <dcterms:created xsi:type="dcterms:W3CDTF">2015-04-09T14:49:47Z</dcterms:created>
  <dcterms:modified xsi:type="dcterms:W3CDTF">2025-07-28T13:11:23Z</dcterms:modified>
</cp:coreProperties>
</file>