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ciones\SLICKLINE\10. MANTENIMIENTO ECP....EQUIPO DE CONTROL DE PRESION\"/>
    </mc:Choice>
  </mc:AlternateContent>
  <xr:revisionPtr revIDLastSave="0" documentId="13_ncr:1_{35D76802-B51E-43EE-95DF-CD32545C452D}" xr6:coauthVersionLast="47" xr6:coauthVersionMax="47" xr10:uidLastSave="{00000000-0000-0000-0000-000000000000}"/>
  <bookViews>
    <workbookView xWindow="-110" yWindow="-16310" windowWidth="29020" windowHeight="15700" xr2:uid="{4F5F234A-3CC5-414E-B6ED-951ADD642927}"/>
  </bookViews>
  <sheets>
    <sheet name="EC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2" l="1"/>
  <c r="R20" i="2"/>
  <c r="R21" i="2"/>
  <c r="R22" i="2"/>
  <c r="R46" i="2"/>
  <c r="T46" i="2" s="1"/>
  <c r="S46" i="2" s="1"/>
  <c r="R45" i="2"/>
  <c r="T45" i="2" s="1"/>
  <c r="S45" i="2" s="1"/>
  <c r="R44" i="2"/>
  <c r="T44" i="2" s="1"/>
  <c r="S44" i="2" s="1"/>
  <c r="R42" i="2"/>
  <c r="T42" i="2" s="1"/>
  <c r="S42" i="2" s="1"/>
  <c r="R41" i="2"/>
  <c r="T41" i="2" s="1"/>
  <c r="S41" i="2" s="1"/>
  <c r="R40" i="2"/>
  <c r="T40" i="2" s="1"/>
  <c r="S40" i="2" s="1"/>
  <c r="R38" i="2"/>
  <c r="T38" i="2" s="1"/>
  <c r="S38" i="2" s="1"/>
  <c r="R37" i="2"/>
  <c r="T37" i="2" s="1"/>
  <c r="S37" i="2" s="1"/>
  <c r="R36" i="2"/>
  <c r="T36" i="2" s="1"/>
  <c r="S36" i="2" s="1"/>
  <c r="R34" i="2"/>
  <c r="T34" i="2" s="1"/>
  <c r="S34" i="2" s="1"/>
  <c r="R33" i="2"/>
  <c r="T33" i="2" s="1"/>
  <c r="S33" i="2" s="1"/>
  <c r="R32" i="2"/>
  <c r="T32" i="2" s="1"/>
  <c r="S32" i="2" s="1"/>
  <c r="R30" i="2"/>
  <c r="T30" i="2" s="1"/>
  <c r="S30" i="2" s="1"/>
  <c r="R29" i="2"/>
  <c r="T29" i="2" s="1"/>
  <c r="S29" i="2" s="1"/>
  <c r="R28" i="2"/>
  <c r="T28" i="2" s="1"/>
  <c r="S28" i="2" s="1"/>
  <c r="R26" i="2"/>
  <c r="T26" i="2" s="1"/>
  <c r="S26" i="2" s="1"/>
  <c r="R25" i="2"/>
  <c r="T25" i="2" s="1"/>
  <c r="S25" i="2" s="1"/>
  <c r="R24" i="2"/>
  <c r="T24" i="2" s="1"/>
  <c r="S24" i="2" s="1"/>
  <c r="T22" i="2"/>
  <c r="S22" i="2" s="1"/>
  <c r="T21" i="2"/>
  <c r="S21" i="2" s="1"/>
  <c r="T20" i="2"/>
  <c r="S20" i="2" s="1"/>
  <c r="R18" i="2"/>
  <c r="T18" i="2" s="1"/>
  <c r="S18" i="2" s="1"/>
  <c r="R17" i="2"/>
  <c r="T17" i="2" s="1"/>
  <c r="S17" i="2" s="1"/>
  <c r="R16" i="2"/>
  <c r="T16" i="2" s="1"/>
  <c r="S16" i="2" s="1"/>
  <c r="R14" i="2"/>
  <c r="T14" i="2" s="1"/>
  <c r="S14" i="2" s="1"/>
  <c r="R13" i="2"/>
  <c r="T13" i="2" s="1"/>
  <c r="S13" i="2" s="1"/>
  <c r="R12" i="2"/>
  <c r="T12" i="2" s="1"/>
  <c r="S12" i="2" s="1"/>
  <c r="R15" i="2"/>
  <c r="T15" i="2" s="1"/>
  <c r="S15" i="2" s="1"/>
  <c r="R11" i="2"/>
  <c r="T11" i="2" s="1"/>
  <c r="S11" i="2" s="1"/>
  <c r="R43" i="2"/>
  <c r="T43" i="2" s="1"/>
  <c r="S43" i="2" s="1"/>
  <c r="R39" i="2"/>
  <c r="T39" i="2" s="1"/>
  <c r="S39" i="2" s="1"/>
  <c r="R35" i="2"/>
  <c r="T35" i="2" s="1"/>
  <c r="S35" i="2" s="1"/>
  <c r="R31" i="2"/>
  <c r="T31" i="2" s="1"/>
  <c r="S31" i="2" s="1"/>
  <c r="R27" i="2"/>
  <c r="T27" i="2" s="1"/>
  <c r="S27" i="2" s="1"/>
  <c r="R23" i="2"/>
  <c r="T23" i="2" s="1"/>
  <c r="S23" i="2" s="1"/>
  <c r="T19" i="2"/>
  <c r="S19" i="2" s="1"/>
  <c r="R7" i="2"/>
  <c r="T7" i="2" s="1"/>
  <c r="S7" i="2" s="1"/>
  <c r="A6" i="2"/>
</calcChain>
</file>

<file path=xl/sharedStrings.xml><?xml version="1.0" encoding="utf-8"?>
<sst xmlns="http://schemas.openxmlformats.org/spreadsheetml/2006/main" count="380" uniqueCount="103">
  <si>
    <t>MANTENIMIENTO PREVENTIVO</t>
  </si>
  <si>
    <t>N°</t>
  </si>
  <si>
    <t xml:space="preserve">Fecha de Inspección </t>
  </si>
  <si>
    <t xml:space="preserve">Alerta </t>
  </si>
  <si>
    <t xml:space="preserve">Días disponible </t>
  </si>
  <si>
    <t>FUERA DE SERVICIO</t>
  </si>
  <si>
    <t>4"</t>
  </si>
  <si>
    <t>EU20H09</t>
  </si>
  <si>
    <t xml:space="preserve">  Elmar </t>
  </si>
  <si>
    <t xml:space="preserve">25 Vigente </t>
  </si>
  <si>
    <t>EUK14N045</t>
  </si>
  <si>
    <t xml:space="preserve"> Elmar  </t>
  </si>
  <si>
    <t xml:space="preserve"> </t>
  </si>
  <si>
    <t xml:space="preserve">5 Por Vencer </t>
  </si>
  <si>
    <t xml:space="preserve"> SL-31</t>
  </si>
  <si>
    <t>3"</t>
  </si>
  <si>
    <t>524B0031-2-1</t>
  </si>
  <si>
    <t xml:space="preserve">  Hunting </t>
  </si>
  <si>
    <t xml:space="preserve">0 Vencido </t>
  </si>
  <si>
    <t xml:space="preserve"> SL-23</t>
  </si>
  <si>
    <t>EUS14B015</t>
  </si>
  <si>
    <t>SL-26</t>
  </si>
  <si>
    <t>325709-08</t>
  </si>
  <si>
    <t xml:space="preserve">   Hunting  </t>
  </si>
  <si>
    <t xml:space="preserve"> SL-27</t>
  </si>
  <si>
    <t>325709-07</t>
  </si>
  <si>
    <t xml:space="preserve"> Hunting</t>
  </si>
  <si>
    <t>SL-30</t>
  </si>
  <si>
    <t>SN-434093-02</t>
  </si>
  <si>
    <t xml:space="preserve">Hunting </t>
  </si>
  <si>
    <t>SL-28</t>
  </si>
  <si>
    <t>EUS15H020</t>
  </si>
  <si>
    <t xml:space="preserve"> Elmar </t>
  </si>
  <si>
    <t xml:space="preserve"> SL-29</t>
  </si>
  <si>
    <t>EUK13B110</t>
  </si>
  <si>
    <t>EUS14B014</t>
  </si>
  <si>
    <t>N/A</t>
  </si>
  <si>
    <t>Fecha Vencimiento</t>
  </si>
  <si>
    <t>STUFFING BOX</t>
  </si>
  <si>
    <t>BOP</t>
  </si>
  <si>
    <t>LUBRICADORES</t>
  </si>
  <si>
    <t>MEDIDA</t>
  </si>
  <si>
    <t>S/N°</t>
  </si>
  <si>
    <t>MARCA</t>
  </si>
  <si>
    <t>DIAMETRO</t>
  </si>
  <si>
    <t>LARGO</t>
  </si>
  <si>
    <t>TOOLCATCHER</t>
  </si>
  <si>
    <t>EQUIPO ASIGNADO</t>
  </si>
  <si>
    <t>EQUIPO DE CONTROL DE PRESIÓN</t>
  </si>
  <si>
    <t>SL-32</t>
  </si>
  <si>
    <t>EUS170006</t>
  </si>
  <si>
    <t>EUS15H009</t>
  </si>
  <si>
    <t>TIC 1528-1</t>
  </si>
  <si>
    <t xml:space="preserve">ST-01  </t>
  </si>
  <si>
    <t>SN456253-04</t>
  </si>
  <si>
    <t>TIC</t>
  </si>
  <si>
    <t>VENCIMIENTOS</t>
  </si>
  <si>
    <t>EQUIPOS</t>
  </si>
  <si>
    <t>SN 434095-01</t>
  </si>
  <si>
    <t>SN 434095-02</t>
  </si>
  <si>
    <t>SN 456253-03</t>
  </si>
  <si>
    <t>sn 467841-02</t>
  </si>
  <si>
    <t>8 ft</t>
  </si>
  <si>
    <t>6 ft</t>
  </si>
  <si>
    <t>sn 468536-01</t>
  </si>
  <si>
    <t>sn 467835-03</t>
  </si>
  <si>
    <t>L-970616-</t>
  </si>
  <si>
    <t>Elmar</t>
  </si>
  <si>
    <t xml:space="preserve">HUNTING </t>
  </si>
  <si>
    <t>Serie 434096-01</t>
  </si>
  <si>
    <t>SN 434608-02</t>
  </si>
  <si>
    <t>SN L-970616</t>
  </si>
  <si>
    <t>SN 434094-02</t>
  </si>
  <si>
    <t>SN 434608-01</t>
  </si>
  <si>
    <t>Serie 458772-1</t>
  </si>
  <si>
    <t>sn 467841-01</t>
  </si>
  <si>
    <t>sn 467835-01</t>
  </si>
  <si>
    <t>sn 467835-02</t>
  </si>
  <si>
    <t xml:space="preserve">  OL -970189 D 233</t>
  </si>
  <si>
    <t>sn 439257-01</t>
  </si>
  <si>
    <t>sn 439257-04</t>
  </si>
  <si>
    <t>sn 439257-03</t>
  </si>
  <si>
    <t>sn 01- 980268 DN225</t>
  </si>
  <si>
    <t>Serie 434096-02</t>
  </si>
  <si>
    <t>TIC-1833-1</t>
  </si>
  <si>
    <t>TIC-1833-2</t>
  </si>
  <si>
    <t>TIC-1833-3</t>
  </si>
  <si>
    <t>EUS15H012</t>
  </si>
  <si>
    <t>EUS15H013</t>
  </si>
  <si>
    <t>EUS15H014</t>
  </si>
  <si>
    <t>EUS15H015</t>
  </si>
  <si>
    <t>OL-970189 DN228</t>
  </si>
  <si>
    <t>OL-970189 DN229</t>
  </si>
  <si>
    <t>OL-970189 DN227</t>
  </si>
  <si>
    <t>OL-970189 DN232</t>
  </si>
  <si>
    <t>H-41</t>
  </si>
  <si>
    <t>5 1/8"</t>
  </si>
  <si>
    <t>10 ft</t>
  </si>
  <si>
    <t>EUK14N044</t>
  </si>
  <si>
    <t>Elamr</t>
  </si>
  <si>
    <t>EUK14N043</t>
  </si>
  <si>
    <t>MANTENIMIENTO DE EQUIPO DE CONTROL DE PRESION</t>
  </si>
  <si>
    <t>POSN01-F15
Rev.00
Oct.2025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</si>
</sst>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14" fontId="0" fillId="4" borderId="1" xfId="0" applyNumberFormat="1" applyFill="1" applyBorder="1"/>
    <xf numFmtId="0" fontId="0" fillId="3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5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 applyProtection="1">
      <alignment horizontal="center" vertical="center"/>
      <protection locked="0"/>
    </xf>
    <xf numFmtId="17" fontId="0" fillId="6" borderId="3" xfId="0" applyNumberFormat="1" applyFill="1" applyBorder="1" applyAlignment="1" applyProtection="1">
      <alignment horizontal="center" vertical="center"/>
      <protection locked="0"/>
    </xf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14" fontId="0" fillId="0" borderId="12" xfId="0" applyNumberFormat="1" applyBorder="1" applyAlignment="1" applyProtection="1">
      <alignment horizontal="center" vertical="center"/>
      <protection locked="0"/>
    </xf>
    <xf numFmtId="14" fontId="0" fillId="0" borderId="13" xfId="0" applyNumberFormat="1" applyBorder="1" applyAlignment="1" applyProtection="1">
      <alignment horizontal="center" vertical="center"/>
      <protection locked="0"/>
    </xf>
    <xf numFmtId="14" fontId="0" fillId="0" borderId="14" xfId="0" applyNumberFormat="1" applyBorder="1" applyAlignment="1" applyProtection="1">
      <alignment horizontal="center" vertical="center"/>
      <protection locked="0"/>
    </xf>
    <xf numFmtId="14" fontId="0" fillId="7" borderId="12" xfId="0" applyNumberFormat="1" applyFill="1" applyBorder="1" applyAlignment="1" applyProtection="1">
      <alignment horizontal="center" vertical="center" wrapText="1"/>
      <protection locked="0"/>
    </xf>
    <xf numFmtId="14" fontId="0" fillId="7" borderId="13" xfId="0" applyNumberFormat="1" applyFill="1" applyBorder="1" applyAlignment="1" applyProtection="1">
      <alignment horizontal="center" vertical="center" wrapText="1"/>
      <protection locked="0"/>
    </xf>
    <xf numFmtId="14" fontId="0" fillId="7" borderId="14" xfId="0" applyNumberFormat="1" applyFill="1" applyBorder="1" applyAlignment="1" applyProtection="1">
      <alignment horizontal="center" vertical="center" wrapText="1"/>
      <protection locked="0"/>
    </xf>
    <xf numFmtId="14" fontId="3" fillId="0" borderId="12" xfId="0" applyNumberFormat="1" applyFont="1" applyBorder="1" applyAlignment="1" applyProtection="1">
      <alignment horizontal="center" vertical="center"/>
      <protection locked="0"/>
    </xf>
    <xf numFmtId="14" fontId="3" fillId="0" borderId="13" xfId="0" applyNumberFormat="1" applyFont="1" applyBorder="1" applyAlignment="1" applyProtection="1">
      <alignment horizontal="center" vertical="center"/>
      <protection locked="0"/>
    </xf>
    <xf numFmtId="14" fontId="3" fillId="0" borderId="14" xfId="0" applyNumberFormat="1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4" fontId="0" fillId="7" borderId="12" xfId="0" applyNumberFormat="1" applyFill="1" applyBorder="1" applyAlignment="1">
      <alignment horizontal="center" vertical="center"/>
    </xf>
    <xf numFmtId="14" fontId="0" fillId="7" borderId="13" xfId="0" applyNumberFormat="1" applyFill="1" applyBorder="1" applyAlignment="1">
      <alignment horizontal="center" vertical="center"/>
    </xf>
    <xf numFmtId="14" fontId="0" fillId="7" borderId="14" xfId="0" applyNumberFormat="1" applyFill="1" applyBorder="1" applyAlignment="1">
      <alignment horizontal="center" vertical="center"/>
    </xf>
    <xf numFmtId="14" fontId="2" fillId="0" borderId="12" xfId="0" applyNumberFormat="1" applyFont="1" applyBorder="1" applyAlignment="1" applyProtection="1">
      <alignment horizontal="center" vertical="center"/>
      <protection locked="0"/>
    </xf>
    <xf numFmtId="14" fontId="2" fillId="0" borderId="13" xfId="0" applyNumberFormat="1" applyFont="1" applyBorder="1" applyAlignment="1" applyProtection="1">
      <alignment horizontal="center" vertical="center"/>
      <protection locked="0"/>
    </xf>
    <xf numFmtId="14" fontId="2" fillId="0" borderId="14" xfId="0" applyNumberFormat="1" applyFont="1" applyBorder="1" applyAlignment="1" applyProtection="1">
      <alignment horizontal="center" vertical="center"/>
      <protection locked="0"/>
    </xf>
    <xf numFmtId="14" fontId="0" fillId="0" borderId="12" xfId="0" applyNumberFormat="1" applyBorder="1" applyAlignment="1" applyProtection="1">
      <alignment horizontal="center" vertical="center" wrapText="1"/>
      <protection locked="0"/>
    </xf>
    <xf numFmtId="14" fontId="0" fillId="0" borderId="13" xfId="0" applyNumberFormat="1" applyBorder="1" applyAlignment="1" applyProtection="1">
      <alignment horizontal="center" vertical="center" wrapText="1"/>
      <protection locked="0"/>
    </xf>
    <xf numFmtId="14" fontId="0" fillId="0" borderId="14" xfId="0" applyNumberFormat="1" applyBorder="1" applyAlignment="1" applyProtection="1">
      <alignment horizontal="center" vertical="center" wrapText="1"/>
      <protection locked="0"/>
    </xf>
    <xf numFmtId="14" fontId="0" fillId="0" borderId="12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2" fillId="9" borderId="12" xfId="0" applyNumberFormat="1" applyFont="1" applyFill="1" applyBorder="1" applyAlignment="1" applyProtection="1">
      <alignment horizontal="center" vertical="center"/>
      <protection locked="0"/>
    </xf>
    <xf numFmtId="14" fontId="2" fillId="9" borderId="13" xfId="0" applyNumberFormat="1" applyFont="1" applyFill="1" applyBorder="1" applyAlignment="1" applyProtection="1">
      <alignment horizontal="center" vertical="center"/>
      <protection locked="0"/>
    </xf>
    <xf numFmtId="14" fontId="2" fillId="9" borderId="14" xfId="0" applyNumberFormat="1" applyFont="1" applyFill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2" fontId="0" fillId="0" borderId="12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63499</xdr:colOff>
      <xdr:row>0</xdr:row>
      <xdr:rowOff>36286</xdr:rowOff>
    </xdr:from>
    <xdr:to>
      <xdr:col>2</xdr:col>
      <xdr:colOff>979714</xdr:colOff>
      <xdr:row>2</xdr:row>
      <xdr:rowOff>145143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07E4D0E-6800-4C37-ADB1-D639DD3810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928" y="36286"/>
          <a:ext cx="916215" cy="47171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0911-6CA7-4885-AB49-7B704C927A11}">
  <dimension ref="A1:AF46"/>
  <sheetViews>
    <sheetView tabSelected="1" topLeftCell="B1" zoomScale="70" zoomScaleNormal="70" workbookViewId="0">
      <selection activeCell="D1" sqref="D1:AD3"/>
    </sheetView>
  </sheetViews>
  <sheetFormatPr baseColWidth="10" defaultRowHeight="14.5" x14ac:dyDescent="0.35"/>
  <cols>
    <col min="1" max="1" width="0" hidden="1" customWidth="1"/>
    <col min="2" max="2" width="4.453125" customWidth="1"/>
    <col min="3" max="3" width="19.90625" customWidth="1"/>
    <col min="4" max="4" width="9.08984375" customWidth="1"/>
    <col min="6" max="6" width="12.08984375" bestFit="1" customWidth="1"/>
    <col min="7" max="7" width="12.90625" bestFit="1" customWidth="1"/>
    <col min="9" max="9" width="14.6328125" customWidth="1"/>
    <col min="13" max="13" width="20.6328125" customWidth="1"/>
    <col min="16" max="16" width="13.90625" customWidth="1"/>
    <col min="17" max="17" width="17.453125" customWidth="1"/>
    <col min="18" max="18" width="16.54296875" bestFit="1" customWidth="1"/>
    <col min="20" max="20" width="13.90625" bestFit="1" customWidth="1"/>
  </cols>
  <sheetData>
    <row r="1" spans="1:32" x14ac:dyDescent="0.35">
      <c r="A1" s="103"/>
      <c r="B1" s="104"/>
      <c r="C1" s="104"/>
      <c r="D1" s="105" t="s">
        <v>101</v>
      </c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6" t="s">
        <v>102</v>
      </c>
      <c r="AF1" s="107"/>
    </row>
    <row r="2" spans="1:32" x14ac:dyDescent="0.35">
      <c r="A2" s="103"/>
      <c r="B2" s="104"/>
      <c r="C2" s="104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7"/>
      <c r="AF2" s="107"/>
    </row>
    <row r="3" spans="1:32" x14ac:dyDescent="0.35">
      <c r="A3" s="103"/>
      <c r="B3" s="104"/>
      <c r="C3" s="104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7"/>
      <c r="AF3" s="107"/>
    </row>
    <row r="4" spans="1:32" x14ac:dyDescent="0.35">
      <c r="A4" s="51" t="s">
        <v>57</v>
      </c>
      <c r="B4" s="51"/>
      <c r="C4" s="51"/>
      <c r="D4" s="101" t="s">
        <v>48</v>
      </c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51" t="s">
        <v>56</v>
      </c>
      <c r="R4" s="51"/>
      <c r="S4" s="51"/>
      <c r="T4" s="51"/>
      <c r="U4" s="52" t="s">
        <v>0</v>
      </c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</row>
    <row r="5" spans="1:32" x14ac:dyDescent="0.35">
      <c r="A5" s="51"/>
      <c r="B5" s="51"/>
      <c r="C5" s="51"/>
      <c r="D5" s="101" t="s">
        <v>39</v>
      </c>
      <c r="E5" s="101"/>
      <c r="F5" s="101"/>
      <c r="G5" s="101" t="s">
        <v>38</v>
      </c>
      <c r="H5" s="101"/>
      <c r="I5" s="101"/>
      <c r="J5" s="101" t="s">
        <v>40</v>
      </c>
      <c r="K5" s="101"/>
      <c r="L5" s="101"/>
      <c r="M5" s="101"/>
      <c r="N5" s="101" t="s">
        <v>46</v>
      </c>
      <c r="O5" s="101"/>
      <c r="P5" s="101"/>
      <c r="Q5" s="51"/>
      <c r="R5" s="51"/>
      <c r="S5" s="51"/>
      <c r="T5" s="51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</row>
    <row r="6" spans="1:32" ht="15" thickBot="1" x14ac:dyDescent="0.4">
      <c r="A6" s="1">
        <f ca="1">TODAY()</f>
        <v>46231</v>
      </c>
      <c r="B6" s="9" t="s">
        <v>1</v>
      </c>
      <c r="C6" s="10" t="s">
        <v>47</v>
      </c>
      <c r="D6" s="10" t="s">
        <v>41</v>
      </c>
      <c r="E6" s="10" t="s">
        <v>43</v>
      </c>
      <c r="F6" s="10" t="s">
        <v>42</v>
      </c>
      <c r="G6" s="10" t="s">
        <v>41</v>
      </c>
      <c r="H6" s="10" t="s">
        <v>43</v>
      </c>
      <c r="I6" s="10" t="s">
        <v>42</v>
      </c>
      <c r="J6" s="10" t="s">
        <v>44</v>
      </c>
      <c r="K6" s="10" t="s">
        <v>45</v>
      </c>
      <c r="L6" s="10" t="s">
        <v>43</v>
      </c>
      <c r="M6" s="10" t="s">
        <v>42</v>
      </c>
      <c r="N6" s="10" t="s">
        <v>41</v>
      </c>
      <c r="O6" s="10" t="s">
        <v>43</v>
      </c>
      <c r="P6" s="10" t="s">
        <v>42</v>
      </c>
      <c r="Q6" s="11" t="s">
        <v>2</v>
      </c>
      <c r="R6" s="10" t="s">
        <v>37</v>
      </c>
      <c r="S6" s="10" t="s">
        <v>3</v>
      </c>
      <c r="T6" s="10" t="s">
        <v>4</v>
      </c>
      <c r="U6" s="12">
        <v>46023</v>
      </c>
      <c r="V6" s="12">
        <v>46054</v>
      </c>
      <c r="W6" s="12">
        <v>46082</v>
      </c>
      <c r="X6" s="12">
        <v>46113</v>
      </c>
      <c r="Y6" s="12">
        <v>46143</v>
      </c>
      <c r="Z6" s="12">
        <v>46174</v>
      </c>
      <c r="AA6" s="12">
        <v>46204</v>
      </c>
      <c r="AB6" s="12">
        <v>46235</v>
      </c>
      <c r="AC6" s="12">
        <v>46266</v>
      </c>
      <c r="AD6" s="12">
        <v>46296</v>
      </c>
      <c r="AE6" s="12">
        <v>46327</v>
      </c>
      <c r="AF6" s="12">
        <v>46357</v>
      </c>
    </row>
    <row r="7" spans="1:32" x14ac:dyDescent="0.35">
      <c r="B7" s="98">
        <v>1</v>
      </c>
      <c r="C7" s="86" t="s">
        <v>5</v>
      </c>
      <c r="D7" s="86" t="s">
        <v>6</v>
      </c>
      <c r="E7" s="86" t="s">
        <v>8</v>
      </c>
      <c r="F7" s="86" t="s">
        <v>7</v>
      </c>
      <c r="G7" s="86" t="s">
        <v>36</v>
      </c>
      <c r="H7" s="86" t="s">
        <v>36</v>
      </c>
      <c r="I7" s="92" t="s">
        <v>36</v>
      </c>
      <c r="J7" s="25"/>
      <c r="K7" s="26"/>
      <c r="L7" s="26"/>
      <c r="M7" s="27"/>
      <c r="N7" s="83"/>
      <c r="O7" s="86"/>
      <c r="P7" s="86"/>
      <c r="Q7" s="45">
        <v>45059</v>
      </c>
      <c r="R7" s="59">
        <f>Q7+60</f>
        <v>45119</v>
      </c>
      <c r="S7" s="53" t="str">
        <f t="shared" ref="S7:S44" ca="1" si="0">IF(T7&gt;=6,"Vigente",IF(AND(T7&gt;=1,T7&lt;=5),"Por Vencer","Vencido"))</f>
        <v>Vencido</v>
      </c>
      <c r="T7" s="56">
        <f ca="1">R7-TODAY()</f>
        <v>-1112</v>
      </c>
      <c r="U7" s="42" t="s">
        <v>36</v>
      </c>
      <c r="V7" s="42" t="s">
        <v>36</v>
      </c>
      <c r="W7" s="42" t="s">
        <v>36</v>
      </c>
      <c r="X7" s="42" t="s">
        <v>36</v>
      </c>
      <c r="Y7" s="42" t="s">
        <v>36</v>
      </c>
      <c r="Z7" s="42" t="s">
        <v>36</v>
      </c>
      <c r="AA7" s="42" t="s">
        <v>36</v>
      </c>
      <c r="AB7" s="42" t="s">
        <v>36</v>
      </c>
      <c r="AC7" s="42" t="s">
        <v>36</v>
      </c>
      <c r="AD7" s="42" t="s">
        <v>36</v>
      </c>
      <c r="AE7" s="42" t="s">
        <v>36</v>
      </c>
      <c r="AF7" s="42" t="s">
        <v>36</v>
      </c>
    </row>
    <row r="8" spans="1:32" x14ac:dyDescent="0.35">
      <c r="A8" s="6"/>
      <c r="B8" s="99"/>
      <c r="C8" s="87"/>
      <c r="D8" s="87"/>
      <c r="E8" s="87"/>
      <c r="F8" s="87"/>
      <c r="G8" s="87"/>
      <c r="H8" s="87"/>
      <c r="I8" s="93"/>
      <c r="J8" s="28"/>
      <c r="K8" s="29"/>
      <c r="L8" s="29"/>
      <c r="M8" s="30"/>
      <c r="N8" s="84"/>
      <c r="O8" s="87"/>
      <c r="P8" s="87"/>
      <c r="Q8" s="46"/>
      <c r="R8" s="60"/>
      <c r="S8" s="54"/>
      <c r="T8" s="57"/>
      <c r="U8" s="43"/>
      <c r="V8" s="43"/>
      <c r="W8" s="43">
        <v>46088</v>
      </c>
      <c r="X8" s="43"/>
      <c r="Y8" s="43">
        <v>46144</v>
      </c>
      <c r="Z8" s="43"/>
      <c r="AA8" s="43">
        <v>46207</v>
      </c>
      <c r="AB8" s="43"/>
      <c r="AC8" s="43">
        <v>46270</v>
      </c>
      <c r="AD8" s="43"/>
      <c r="AE8" s="43">
        <v>46333</v>
      </c>
      <c r="AF8" s="43"/>
    </row>
    <row r="9" spans="1:32" x14ac:dyDescent="0.35">
      <c r="A9" s="7"/>
      <c r="B9" s="99"/>
      <c r="C9" s="87"/>
      <c r="D9" s="87"/>
      <c r="E9" s="87"/>
      <c r="F9" s="87"/>
      <c r="G9" s="87"/>
      <c r="H9" s="87"/>
      <c r="I9" s="93"/>
      <c r="J9" s="28"/>
      <c r="K9" s="29"/>
      <c r="L9" s="29"/>
      <c r="M9" s="30"/>
      <c r="N9" s="84"/>
      <c r="O9" s="87"/>
      <c r="P9" s="87"/>
      <c r="Q9" s="46"/>
      <c r="R9" s="60"/>
      <c r="S9" s="54"/>
      <c r="T9" s="57"/>
      <c r="U9" s="43"/>
      <c r="V9" s="43"/>
      <c r="W9" s="43">
        <v>46082</v>
      </c>
      <c r="X9" s="43"/>
      <c r="Y9" s="43"/>
      <c r="Z9" s="43"/>
      <c r="AA9" s="43"/>
      <c r="AB9" s="43"/>
      <c r="AC9" s="43"/>
      <c r="AD9" s="43"/>
      <c r="AE9" s="43"/>
      <c r="AF9" s="43"/>
    </row>
    <row r="10" spans="1:32" ht="15" thickBot="1" x14ac:dyDescent="0.4">
      <c r="A10" s="8"/>
      <c r="B10" s="100"/>
      <c r="C10" s="88"/>
      <c r="D10" s="88"/>
      <c r="E10" s="88"/>
      <c r="F10" s="88"/>
      <c r="G10" s="88"/>
      <c r="H10" s="88"/>
      <c r="I10" s="94"/>
      <c r="J10" s="31"/>
      <c r="K10" s="32"/>
      <c r="L10" s="32"/>
      <c r="M10" s="33"/>
      <c r="N10" s="85"/>
      <c r="O10" s="88"/>
      <c r="P10" s="88"/>
      <c r="Q10" s="47"/>
      <c r="R10" s="61"/>
      <c r="S10" s="55"/>
      <c r="T10" s="58"/>
      <c r="U10" s="44"/>
      <c r="V10" s="44"/>
      <c r="W10" s="44" t="s">
        <v>36</v>
      </c>
      <c r="X10" s="44" t="s">
        <v>36</v>
      </c>
      <c r="Y10" s="44" t="s">
        <v>36</v>
      </c>
      <c r="Z10" s="44" t="s">
        <v>36</v>
      </c>
      <c r="AA10" s="44" t="s">
        <v>36</v>
      </c>
      <c r="AB10" s="44" t="s">
        <v>36</v>
      </c>
      <c r="AC10" s="44" t="s">
        <v>36</v>
      </c>
      <c r="AD10" s="44" t="s">
        <v>36</v>
      </c>
      <c r="AE10" s="44" t="s">
        <v>36</v>
      </c>
      <c r="AF10" s="44" t="s">
        <v>36</v>
      </c>
    </row>
    <row r="11" spans="1:32" x14ac:dyDescent="0.35">
      <c r="A11" s="2" t="s">
        <v>9</v>
      </c>
      <c r="B11" s="98">
        <v>2</v>
      </c>
      <c r="C11" s="53" t="s">
        <v>95</v>
      </c>
      <c r="D11" s="102">
        <v>5.125</v>
      </c>
      <c r="E11" s="53" t="s">
        <v>11</v>
      </c>
      <c r="F11" s="53" t="s">
        <v>10</v>
      </c>
      <c r="G11" s="53" t="s">
        <v>36</v>
      </c>
      <c r="H11" s="53" t="s">
        <v>36</v>
      </c>
      <c r="I11" s="89" t="s">
        <v>36</v>
      </c>
      <c r="J11" s="19" t="s">
        <v>96</v>
      </c>
      <c r="K11" s="13" t="s">
        <v>97</v>
      </c>
      <c r="L11" s="13" t="s">
        <v>67</v>
      </c>
      <c r="M11" s="20" t="s">
        <v>98</v>
      </c>
      <c r="N11" s="74"/>
      <c r="O11" s="53"/>
      <c r="P11" s="53"/>
      <c r="Q11" s="65">
        <v>46153</v>
      </c>
      <c r="R11" s="68">
        <f>Q11+60</f>
        <v>46213</v>
      </c>
      <c r="S11" s="53" t="str">
        <f t="shared" ref="S11:S12" ca="1" si="1">IF(T11&gt;=6,"Vigente",IF(AND(T11&gt;=1,T11&lt;=5),"Por Vencer","Vencido"))</f>
        <v>Vencido</v>
      </c>
      <c r="T11" s="56">
        <f t="shared" ref="T11:T15" ca="1" si="2">R11-TODAY()</f>
        <v>-18</v>
      </c>
      <c r="U11" s="42">
        <v>46025</v>
      </c>
      <c r="V11" s="42" t="s">
        <v>12</v>
      </c>
      <c r="W11" s="42">
        <v>46096</v>
      </c>
      <c r="X11" s="42"/>
      <c r="Y11" s="42">
        <v>46153</v>
      </c>
      <c r="Z11" s="42"/>
      <c r="AA11" s="42">
        <v>46207</v>
      </c>
      <c r="AB11" s="42"/>
      <c r="AC11" s="42">
        <v>46270</v>
      </c>
      <c r="AD11" s="42"/>
      <c r="AE11" s="42">
        <v>46333</v>
      </c>
      <c r="AF11" s="42"/>
    </row>
    <row r="12" spans="1:32" x14ac:dyDescent="0.35">
      <c r="A12" s="6"/>
      <c r="B12" s="99"/>
      <c r="C12" s="54"/>
      <c r="D12" s="54"/>
      <c r="E12" s="54"/>
      <c r="F12" s="54"/>
      <c r="G12" s="54"/>
      <c r="H12" s="54"/>
      <c r="I12" s="90"/>
      <c r="J12" s="15" t="s">
        <v>96</v>
      </c>
      <c r="K12" s="3" t="s">
        <v>97</v>
      </c>
      <c r="L12" s="3" t="s">
        <v>99</v>
      </c>
      <c r="M12" s="16" t="s">
        <v>100</v>
      </c>
      <c r="N12" s="75"/>
      <c r="O12" s="54"/>
      <c r="P12" s="54"/>
      <c r="Q12" s="66">
        <v>46025</v>
      </c>
      <c r="R12" s="69">
        <f>Q12+60</f>
        <v>46085</v>
      </c>
      <c r="S12" s="54" t="str">
        <f t="shared" ca="1" si="1"/>
        <v>Vencido</v>
      </c>
      <c r="T12" s="57">
        <f t="shared" ca="1" si="2"/>
        <v>-146</v>
      </c>
      <c r="U12" s="43">
        <v>46025</v>
      </c>
      <c r="V12" s="43" t="s">
        <v>12</v>
      </c>
      <c r="W12" s="43">
        <v>46088</v>
      </c>
      <c r="X12" s="43"/>
      <c r="Y12" s="43">
        <v>46144</v>
      </c>
      <c r="Z12" s="43"/>
      <c r="AA12" s="43">
        <v>46207</v>
      </c>
      <c r="AB12" s="43"/>
      <c r="AC12" s="43">
        <v>46270</v>
      </c>
      <c r="AD12" s="43"/>
      <c r="AE12" s="43">
        <v>46333</v>
      </c>
      <c r="AF12" s="43"/>
    </row>
    <row r="13" spans="1:32" x14ac:dyDescent="0.35">
      <c r="A13" s="7"/>
      <c r="B13" s="99"/>
      <c r="C13" s="54"/>
      <c r="D13" s="54"/>
      <c r="E13" s="54"/>
      <c r="F13" s="54"/>
      <c r="G13" s="54"/>
      <c r="H13" s="54"/>
      <c r="I13" s="90"/>
      <c r="J13" s="15"/>
      <c r="K13" s="3"/>
      <c r="L13" s="3"/>
      <c r="M13" s="16"/>
      <c r="N13" s="75"/>
      <c r="O13" s="54"/>
      <c r="P13" s="54"/>
      <c r="Q13" s="66">
        <v>46054</v>
      </c>
      <c r="R13" s="69">
        <f t="shared" ref="R13" si="3">Q13+30</f>
        <v>46084</v>
      </c>
      <c r="S13" s="54" t="str">
        <f ca="1">IF(T13&gt;=6,"Vigente",IF(AND(T13&gt;=1,T13&lt;=5),"Por Vencer","Vencido"))</f>
        <v>Vencido</v>
      </c>
      <c r="T13" s="57">
        <f t="shared" ca="1" si="2"/>
        <v>-147</v>
      </c>
      <c r="U13" s="43">
        <v>46025</v>
      </c>
      <c r="V13" s="43">
        <v>46054</v>
      </c>
      <c r="W13" s="43">
        <v>46082</v>
      </c>
      <c r="X13" s="43"/>
      <c r="Y13" s="43"/>
      <c r="Z13" s="43"/>
      <c r="AA13" s="43"/>
      <c r="AB13" s="43"/>
      <c r="AC13" s="43"/>
      <c r="AD13" s="43"/>
      <c r="AE13" s="43"/>
      <c r="AF13" s="43"/>
    </row>
    <row r="14" spans="1:32" ht="15" thickBot="1" x14ac:dyDescent="0.4">
      <c r="A14" s="8"/>
      <c r="B14" s="100"/>
      <c r="C14" s="55"/>
      <c r="D14" s="55"/>
      <c r="E14" s="55"/>
      <c r="F14" s="55"/>
      <c r="G14" s="55"/>
      <c r="H14" s="55"/>
      <c r="I14" s="91"/>
      <c r="J14" s="17"/>
      <c r="K14" s="14"/>
      <c r="L14" s="14"/>
      <c r="M14" s="18"/>
      <c r="N14" s="76"/>
      <c r="O14" s="55"/>
      <c r="P14" s="55"/>
      <c r="Q14" s="67">
        <v>45059</v>
      </c>
      <c r="R14" s="70">
        <f>Q14+60</f>
        <v>45119</v>
      </c>
      <c r="S14" s="55" t="str">
        <f t="shared" ref="S14" ca="1" si="4">IF(T14&gt;=6,"Vigente",IF(AND(T14&gt;=1,T14&lt;=5),"Por Vencer","Vencido"))</f>
        <v>Vencido</v>
      </c>
      <c r="T14" s="58">
        <f ca="1">R14-TODAY()</f>
        <v>-1112</v>
      </c>
      <c r="U14" s="44" t="s">
        <v>36</v>
      </c>
      <c r="V14" s="44" t="s">
        <v>36</v>
      </c>
      <c r="W14" s="44" t="s">
        <v>36</v>
      </c>
      <c r="X14" s="44" t="s">
        <v>36</v>
      </c>
      <c r="Y14" s="44" t="s">
        <v>36</v>
      </c>
      <c r="Z14" s="44" t="s">
        <v>36</v>
      </c>
      <c r="AA14" s="44" t="s">
        <v>36</v>
      </c>
      <c r="AB14" s="44" t="s">
        <v>36</v>
      </c>
      <c r="AC14" s="44" t="s">
        <v>36</v>
      </c>
      <c r="AD14" s="44" t="s">
        <v>36</v>
      </c>
      <c r="AE14" s="44" t="s">
        <v>36</v>
      </c>
      <c r="AF14" s="44" t="s">
        <v>36</v>
      </c>
    </row>
    <row r="15" spans="1:32" x14ac:dyDescent="0.35">
      <c r="A15" s="4" t="s">
        <v>13</v>
      </c>
      <c r="B15" s="98">
        <v>3</v>
      </c>
      <c r="C15" s="53" t="s">
        <v>14</v>
      </c>
      <c r="D15" s="53" t="s">
        <v>15</v>
      </c>
      <c r="E15" s="53" t="s">
        <v>17</v>
      </c>
      <c r="F15" s="53" t="s">
        <v>16</v>
      </c>
      <c r="G15" s="53" t="s">
        <v>15</v>
      </c>
      <c r="H15" s="53" t="s">
        <v>17</v>
      </c>
      <c r="I15" s="89" t="s">
        <v>54</v>
      </c>
      <c r="J15" s="15" t="s">
        <v>15</v>
      </c>
      <c r="K15" s="3" t="s">
        <v>62</v>
      </c>
      <c r="L15" s="13" t="s">
        <v>29</v>
      </c>
      <c r="M15" s="20" t="s">
        <v>70</v>
      </c>
      <c r="N15" s="74" t="s">
        <v>15</v>
      </c>
      <c r="O15" s="53" t="s">
        <v>68</v>
      </c>
      <c r="P15" s="53" t="s">
        <v>74</v>
      </c>
      <c r="Q15" s="65">
        <v>46215</v>
      </c>
      <c r="R15" s="68">
        <f t="shared" ref="R15" si="5">Q15+30</f>
        <v>46245</v>
      </c>
      <c r="S15" s="53" t="str">
        <f ca="1">IF(T15&gt;=6,"Vigente",IF(AND(T15&gt;=1,T15&lt;=5),"Por Vencer","Vencido"))</f>
        <v>Vigente</v>
      </c>
      <c r="T15" s="56">
        <f t="shared" ca="1" si="2"/>
        <v>14</v>
      </c>
      <c r="U15" s="42">
        <v>46025</v>
      </c>
      <c r="V15" s="42">
        <v>46081</v>
      </c>
      <c r="W15" s="42">
        <v>46110</v>
      </c>
      <c r="X15" s="42">
        <v>46138</v>
      </c>
      <c r="Y15" s="42">
        <v>46159</v>
      </c>
      <c r="Z15" s="42">
        <v>46187</v>
      </c>
      <c r="AA15" s="42">
        <v>46215</v>
      </c>
      <c r="AB15" s="42"/>
      <c r="AC15" s="42"/>
      <c r="AD15" s="42"/>
      <c r="AE15" s="42"/>
      <c r="AF15" s="42"/>
    </row>
    <row r="16" spans="1:32" x14ac:dyDescent="0.35">
      <c r="A16" s="6"/>
      <c r="B16" s="99"/>
      <c r="C16" s="54"/>
      <c r="D16" s="54"/>
      <c r="E16" s="54"/>
      <c r="F16" s="54"/>
      <c r="G16" s="54"/>
      <c r="H16" s="54"/>
      <c r="I16" s="90"/>
      <c r="J16" s="15" t="s">
        <v>15</v>
      </c>
      <c r="K16" s="3" t="s">
        <v>62</v>
      </c>
      <c r="L16" s="3" t="s">
        <v>29</v>
      </c>
      <c r="M16" s="16" t="s">
        <v>71</v>
      </c>
      <c r="N16" s="75"/>
      <c r="O16" s="54"/>
      <c r="P16" s="54"/>
      <c r="Q16" s="66">
        <v>46025</v>
      </c>
      <c r="R16" s="69">
        <f>Q16+60</f>
        <v>46085</v>
      </c>
      <c r="S16" s="54" t="str">
        <f t="shared" ref="S16" ca="1" si="6">IF(T16&gt;=6,"Vigente",IF(AND(T16&gt;=1,T16&lt;=5),"Por Vencer","Vencido"))</f>
        <v>Vencido</v>
      </c>
      <c r="T16" s="57">
        <f t="shared" ref="T16:T17" ca="1" si="7">R16-TODAY()</f>
        <v>-146</v>
      </c>
      <c r="U16" s="43">
        <v>46025</v>
      </c>
      <c r="V16" s="43" t="s">
        <v>12</v>
      </c>
      <c r="W16" s="43">
        <v>46088</v>
      </c>
      <c r="X16" s="43"/>
      <c r="Y16" s="43">
        <v>46144</v>
      </c>
      <c r="Z16" s="43"/>
      <c r="AA16" s="43">
        <v>46207</v>
      </c>
      <c r="AB16" s="43"/>
      <c r="AC16" s="43">
        <v>46270</v>
      </c>
      <c r="AD16" s="43"/>
      <c r="AE16" s="43">
        <v>46333</v>
      </c>
      <c r="AF16" s="43"/>
    </row>
    <row r="17" spans="1:32" x14ac:dyDescent="0.35">
      <c r="A17" s="7"/>
      <c r="B17" s="99"/>
      <c r="C17" s="54"/>
      <c r="D17" s="54"/>
      <c r="E17" s="54"/>
      <c r="F17" s="54"/>
      <c r="G17" s="54"/>
      <c r="H17" s="54"/>
      <c r="I17" s="90"/>
      <c r="J17" s="15" t="s">
        <v>15</v>
      </c>
      <c r="K17" s="3" t="s">
        <v>62</v>
      </c>
      <c r="L17" s="3" t="s">
        <v>29</v>
      </c>
      <c r="M17" s="16" t="s">
        <v>72</v>
      </c>
      <c r="N17" s="75"/>
      <c r="O17" s="54"/>
      <c r="P17" s="54"/>
      <c r="Q17" s="66">
        <v>46054</v>
      </c>
      <c r="R17" s="69">
        <f t="shared" ref="R17" si="8">Q17+30</f>
        <v>46084</v>
      </c>
      <c r="S17" s="54" t="str">
        <f ca="1">IF(T17&gt;=6,"Vigente",IF(AND(T17&gt;=1,T17&lt;=5),"Por Vencer","Vencido"))</f>
        <v>Vencido</v>
      </c>
      <c r="T17" s="57">
        <f t="shared" ca="1" si="7"/>
        <v>-147</v>
      </c>
      <c r="U17" s="43">
        <v>46025</v>
      </c>
      <c r="V17" s="43">
        <v>46054</v>
      </c>
      <c r="W17" s="43">
        <v>46082</v>
      </c>
      <c r="X17" s="43"/>
      <c r="Y17" s="43"/>
      <c r="Z17" s="43"/>
      <c r="AA17" s="43"/>
      <c r="AB17" s="43"/>
      <c r="AC17" s="43"/>
      <c r="AD17" s="43"/>
      <c r="AE17" s="43"/>
      <c r="AF17" s="43"/>
    </row>
    <row r="18" spans="1:32" ht="15" thickBot="1" x14ac:dyDescent="0.4">
      <c r="A18" s="8"/>
      <c r="B18" s="100"/>
      <c r="C18" s="55"/>
      <c r="D18" s="55"/>
      <c r="E18" s="55"/>
      <c r="F18" s="55"/>
      <c r="G18" s="55"/>
      <c r="H18" s="55"/>
      <c r="I18" s="91"/>
      <c r="J18" s="23" t="s">
        <v>15</v>
      </c>
      <c r="K18" s="24" t="s">
        <v>62</v>
      </c>
      <c r="L18" s="14" t="s">
        <v>29</v>
      </c>
      <c r="M18" s="18" t="s">
        <v>73</v>
      </c>
      <c r="N18" s="76"/>
      <c r="O18" s="55"/>
      <c r="P18" s="55"/>
      <c r="Q18" s="67">
        <v>45059</v>
      </c>
      <c r="R18" s="70">
        <f>Q18+60</f>
        <v>45119</v>
      </c>
      <c r="S18" s="55" t="str">
        <f t="shared" ref="S18" ca="1" si="9">IF(T18&gt;=6,"Vigente",IF(AND(T18&gt;=1,T18&lt;=5),"Por Vencer","Vencido"))</f>
        <v>Vencido</v>
      </c>
      <c r="T18" s="58">
        <f ca="1">R18-TODAY()</f>
        <v>-1112</v>
      </c>
      <c r="U18" s="44" t="s">
        <v>36</v>
      </c>
      <c r="V18" s="44" t="s">
        <v>36</v>
      </c>
      <c r="W18" s="44" t="s">
        <v>36</v>
      </c>
      <c r="X18" s="44" t="s">
        <v>36</v>
      </c>
      <c r="Y18" s="44" t="s">
        <v>36</v>
      </c>
      <c r="Z18" s="44" t="s">
        <v>36</v>
      </c>
      <c r="AA18" s="44" t="s">
        <v>36</v>
      </c>
      <c r="AB18" s="44" t="s">
        <v>36</v>
      </c>
      <c r="AC18" s="44" t="s">
        <v>36</v>
      </c>
      <c r="AD18" s="44" t="s">
        <v>36</v>
      </c>
      <c r="AE18" s="44" t="s">
        <v>36</v>
      </c>
      <c r="AF18" s="44" t="s">
        <v>36</v>
      </c>
    </row>
    <row r="19" spans="1:32" x14ac:dyDescent="0.35">
      <c r="A19" s="5" t="s">
        <v>18</v>
      </c>
      <c r="B19" s="98">
        <v>4</v>
      </c>
      <c r="C19" s="80" t="s">
        <v>19</v>
      </c>
      <c r="D19" s="80" t="s">
        <v>15</v>
      </c>
      <c r="E19" s="80" t="s">
        <v>8</v>
      </c>
      <c r="F19" s="80" t="s">
        <v>20</v>
      </c>
      <c r="G19" s="80" t="s">
        <v>15</v>
      </c>
      <c r="H19" s="80" t="s">
        <v>8</v>
      </c>
      <c r="I19" s="95" t="s">
        <v>50</v>
      </c>
      <c r="J19" s="34" t="s">
        <v>15</v>
      </c>
      <c r="K19" s="35" t="s">
        <v>62</v>
      </c>
      <c r="L19" s="36" t="s">
        <v>29</v>
      </c>
      <c r="M19" s="37" t="s">
        <v>75</v>
      </c>
      <c r="N19" s="77" t="s">
        <v>36</v>
      </c>
      <c r="O19" s="80" t="s">
        <v>36</v>
      </c>
      <c r="P19" s="80" t="s">
        <v>36</v>
      </c>
      <c r="Q19" s="65">
        <v>46208</v>
      </c>
      <c r="R19" s="68">
        <f t="shared" ref="R19" si="10">Q19+30</f>
        <v>46238</v>
      </c>
      <c r="S19" s="53" t="str">
        <f t="shared" ca="1" si="0"/>
        <v>Vigente</v>
      </c>
      <c r="T19" s="56">
        <f t="shared" ref="T19:T45" ca="1" si="11">R19-TODAY()</f>
        <v>7</v>
      </c>
      <c r="U19" s="42">
        <v>46048</v>
      </c>
      <c r="V19" s="71">
        <v>45712</v>
      </c>
      <c r="W19" s="42">
        <v>46099</v>
      </c>
      <c r="X19" s="48">
        <v>46130</v>
      </c>
      <c r="Y19" s="42">
        <v>45808</v>
      </c>
      <c r="Z19" s="42"/>
      <c r="AA19" s="42">
        <v>46208</v>
      </c>
      <c r="AB19" s="42"/>
      <c r="AC19" s="42"/>
      <c r="AD19" s="42"/>
      <c r="AE19" s="42"/>
      <c r="AF19" s="42"/>
    </row>
    <row r="20" spans="1:32" ht="15" customHeight="1" x14ac:dyDescent="0.35">
      <c r="A20" s="6"/>
      <c r="B20" s="99"/>
      <c r="C20" s="81"/>
      <c r="D20" s="81"/>
      <c r="E20" s="81"/>
      <c r="F20" s="81"/>
      <c r="G20" s="81"/>
      <c r="H20" s="81"/>
      <c r="I20" s="96"/>
      <c r="J20" s="38" t="s">
        <v>15</v>
      </c>
      <c r="K20" s="36" t="s">
        <v>62</v>
      </c>
      <c r="L20" s="36" t="s">
        <v>29</v>
      </c>
      <c r="M20" s="39" t="s">
        <v>76</v>
      </c>
      <c r="N20" s="78"/>
      <c r="O20" s="81"/>
      <c r="P20" s="81"/>
      <c r="Q20" s="66">
        <v>46025</v>
      </c>
      <c r="R20" s="69">
        <f>Q20+60</f>
        <v>46085</v>
      </c>
      <c r="S20" s="54" t="str">
        <f t="shared" ca="1" si="0"/>
        <v>Vencido</v>
      </c>
      <c r="T20" s="57">
        <f t="shared" ca="1" si="11"/>
        <v>-146</v>
      </c>
      <c r="U20" s="43">
        <v>46025</v>
      </c>
      <c r="V20" s="72" t="s">
        <v>12</v>
      </c>
      <c r="W20" s="43">
        <v>46088</v>
      </c>
      <c r="X20" s="49"/>
      <c r="Y20" s="43">
        <v>46144</v>
      </c>
      <c r="Z20" s="43"/>
      <c r="AA20" s="43">
        <v>46207</v>
      </c>
      <c r="AB20" s="43"/>
      <c r="AC20" s="43">
        <v>46270</v>
      </c>
      <c r="AD20" s="43"/>
      <c r="AE20" s="43">
        <v>46333</v>
      </c>
      <c r="AF20" s="43"/>
    </row>
    <row r="21" spans="1:32" x14ac:dyDescent="0.35">
      <c r="A21" s="7"/>
      <c r="B21" s="99"/>
      <c r="C21" s="81"/>
      <c r="D21" s="81"/>
      <c r="E21" s="81"/>
      <c r="F21" s="81"/>
      <c r="G21" s="81"/>
      <c r="H21" s="81"/>
      <c r="I21" s="96"/>
      <c r="J21" s="38" t="s">
        <v>15</v>
      </c>
      <c r="K21" s="36" t="s">
        <v>62</v>
      </c>
      <c r="L21" s="36" t="s">
        <v>29</v>
      </c>
      <c r="M21" s="39" t="s">
        <v>77</v>
      </c>
      <c r="N21" s="78"/>
      <c r="O21" s="81"/>
      <c r="P21" s="81"/>
      <c r="Q21" s="66">
        <v>46054</v>
      </c>
      <c r="R21" s="69">
        <f t="shared" ref="R21" si="12">Q21+30</f>
        <v>46084</v>
      </c>
      <c r="S21" s="54" t="str">
        <f ca="1">IF(T21&gt;=6,"Vigente",IF(AND(T21&gt;=1,T21&lt;=5),"Por Vencer","Vencido"))</f>
        <v>Vencido</v>
      </c>
      <c r="T21" s="57">
        <f t="shared" ca="1" si="11"/>
        <v>-147</v>
      </c>
      <c r="U21" s="43">
        <v>46025</v>
      </c>
      <c r="V21" s="72">
        <v>46054</v>
      </c>
      <c r="W21" s="43">
        <v>46082</v>
      </c>
      <c r="X21" s="49"/>
      <c r="Y21" s="43"/>
      <c r="Z21" s="43"/>
      <c r="AA21" s="43"/>
      <c r="AB21" s="43"/>
      <c r="AC21" s="43"/>
      <c r="AD21" s="43"/>
      <c r="AE21" s="43"/>
      <c r="AF21" s="43"/>
    </row>
    <row r="22" spans="1:32" ht="15" thickBot="1" x14ac:dyDescent="0.4">
      <c r="A22" s="8"/>
      <c r="B22" s="100"/>
      <c r="C22" s="82"/>
      <c r="D22" s="82"/>
      <c r="E22" s="82"/>
      <c r="F22" s="82"/>
      <c r="G22" s="82"/>
      <c r="H22" s="82"/>
      <c r="I22" s="97"/>
      <c r="J22" s="38" t="s">
        <v>15</v>
      </c>
      <c r="K22" s="36" t="s">
        <v>62</v>
      </c>
      <c r="L22" s="40" t="s">
        <v>67</v>
      </c>
      <c r="M22" s="41" t="s">
        <v>78</v>
      </c>
      <c r="N22" s="79"/>
      <c r="O22" s="82"/>
      <c r="P22" s="82"/>
      <c r="Q22" s="67">
        <v>45059</v>
      </c>
      <c r="R22" s="70">
        <f>Q22+60</f>
        <v>45119</v>
      </c>
      <c r="S22" s="55" t="str">
        <f t="shared" ref="S22" ca="1" si="13">IF(T22&gt;=6,"Vigente",IF(AND(T22&gt;=1,T22&lt;=5),"Por Vencer","Vencido"))</f>
        <v>Vencido</v>
      </c>
      <c r="T22" s="58">
        <f ca="1">R22-TODAY()</f>
        <v>-1112</v>
      </c>
      <c r="U22" s="44" t="s">
        <v>36</v>
      </c>
      <c r="V22" s="73" t="s">
        <v>36</v>
      </c>
      <c r="W22" s="44" t="s">
        <v>36</v>
      </c>
      <c r="X22" s="50" t="s">
        <v>36</v>
      </c>
      <c r="Y22" s="44" t="s">
        <v>36</v>
      </c>
      <c r="Z22" s="44" t="s">
        <v>36</v>
      </c>
      <c r="AA22" s="44" t="s">
        <v>36</v>
      </c>
      <c r="AB22" s="44" t="s">
        <v>36</v>
      </c>
      <c r="AC22" s="44" t="s">
        <v>36</v>
      </c>
      <c r="AD22" s="44" t="s">
        <v>36</v>
      </c>
      <c r="AE22" s="44" t="s">
        <v>36</v>
      </c>
      <c r="AF22" s="44" t="s">
        <v>36</v>
      </c>
    </row>
    <row r="23" spans="1:32" x14ac:dyDescent="0.35">
      <c r="B23" s="98">
        <v>5</v>
      </c>
      <c r="C23" s="53" t="s">
        <v>21</v>
      </c>
      <c r="D23" s="53" t="s">
        <v>15</v>
      </c>
      <c r="E23" s="53" t="s">
        <v>23</v>
      </c>
      <c r="F23" s="53" t="s">
        <v>22</v>
      </c>
      <c r="G23" s="53" t="s">
        <v>15</v>
      </c>
      <c r="H23" s="53" t="s">
        <v>17</v>
      </c>
      <c r="I23" s="89" t="s">
        <v>58</v>
      </c>
      <c r="J23" s="19" t="s">
        <v>15</v>
      </c>
      <c r="K23" s="13" t="s">
        <v>62</v>
      </c>
      <c r="L23" s="13" t="s">
        <v>29</v>
      </c>
      <c r="M23" s="20" t="s">
        <v>61</v>
      </c>
      <c r="N23" s="74" t="s">
        <v>15</v>
      </c>
      <c r="O23" s="53" t="s">
        <v>68</v>
      </c>
      <c r="P23" s="53" t="s">
        <v>69</v>
      </c>
      <c r="Q23" s="65">
        <v>46201</v>
      </c>
      <c r="R23" s="68">
        <f t="shared" ref="R23:R43" si="14">Q23+30</f>
        <v>46231</v>
      </c>
      <c r="S23" s="53" t="str">
        <f t="shared" ca="1" si="0"/>
        <v>Vencido</v>
      </c>
      <c r="T23" s="56">
        <f t="shared" ca="1" si="11"/>
        <v>0</v>
      </c>
      <c r="U23" s="42">
        <v>45682</v>
      </c>
      <c r="V23" s="42">
        <v>45710</v>
      </c>
      <c r="W23" s="42">
        <v>46103</v>
      </c>
      <c r="X23" s="42">
        <v>46131</v>
      </c>
      <c r="Y23" s="42">
        <v>46166</v>
      </c>
      <c r="Z23" s="42">
        <v>46201</v>
      </c>
      <c r="AA23" s="42"/>
      <c r="AB23" s="42"/>
      <c r="AC23" s="42"/>
      <c r="AD23" s="42"/>
      <c r="AE23" s="42"/>
      <c r="AF23" s="42"/>
    </row>
    <row r="24" spans="1:32" ht="15" customHeight="1" x14ac:dyDescent="0.35">
      <c r="A24" s="6"/>
      <c r="B24" s="99"/>
      <c r="C24" s="54"/>
      <c r="D24" s="54"/>
      <c r="E24" s="54"/>
      <c r="F24" s="54"/>
      <c r="G24" s="54"/>
      <c r="H24" s="54"/>
      <c r="I24" s="90"/>
      <c r="J24" s="15" t="s">
        <v>15</v>
      </c>
      <c r="K24" s="3" t="s">
        <v>62</v>
      </c>
      <c r="L24" s="3" t="s">
        <v>29</v>
      </c>
      <c r="M24" s="16" t="s">
        <v>64</v>
      </c>
      <c r="N24" s="75"/>
      <c r="O24" s="54"/>
      <c r="P24" s="54"/>
      <c r="Q24" s="66">
        <v>46025</v>
      </c>
      <c r="R24" s="69">
        <f>Q24+60</f>
        <v>46085</v>
      </c>
      <c r="S24" s="54" t="str">
        <f t="shared" ref="S24" ca="1" si="15">IF(T24&gt;=6,"Vigente",IF(AND(T24&gt;=1,T24&lt;=5),"Por Vencer","Vencido"))</f>
        <v>Vencido</v>
      </c>
      <c r="T24" s="57">
        <f t="shared" ref="T24:T25" ca="1" si="16">R24-TODAY()</f>
        <v>-146</v>
      </c>
      <c r="U24" s="43">
        <v>46025</v>
      </c>
      <c r="V24" s="43" t="s">
        <v>12</v>
      </c>
      <c r="W24" s="43">
        <v>46088</v>
      </c>
      <c r="X24" s="43"/>
      <c r="Y24" s="43">
        <v>46144</v>
      </c>
      <c r="Z24" s="43"/>
      <c r="AA24" s="43">
        <v>46207</v>
      </c>
      <c r="AB24" s="43"/>
      <c r="AC24" s="43">
        <v>46270</v>
      </c>
      <c r="AD24" s="43"/>
      <c r="AE24" s="43">
        <v>46333</v>
      </c>
      <c r="AF24" s="43"/>
    </row>
    <row r="25" spans="1:32" x14ac:dyDescent="0.35">
      <c r="A25" s="7"/>
      <c r="B25" s="99"/>
      <c r="C25" s="54"/>
      <c r="D25" s="54"/>
      <c r="E25" s="54"/>
      <c r="F25" s="54"/>
      <c r="G25" s="54"/>
      <c r="H25" s="54"/>
      <c r="I25" s="90"/>
      <c r="J25" s="15" t="s">
        <v>15</v>
      </c>
      <c r="K25" s="3" t="s">
        <v>62</v>
      </c>
      <c r="L25" s="3" t="s">
        <v>29</v>
      </c>
      <c r="M25" s="16" t="s">
        <v>65</v>
      </c>
      <c r="N25" s="75"/>
      <c r="O25" s="54"/>
      <c r="P25" s="54"/>
      <c r="Q25" s="66">
        <v>46054</v>
      </c>
      <c r="R25" s="69">
        <f t="shared" ref="R25" si="17">Q25+30</f>
        <v>46084</v>
      </c>
      <c r="S25" s="54" t="str">
        <f ca="1">IF(T25&gt;=6,"Vigente",IF(AND(T25&gt;=1,T25&lt;=5),"Por Vencer","Vencido"))</f>
        <v>Vencido</v>
      </c>
      <c r="T25" s="57">
        <f t="shared" ca="1" si="16"/>
        <v>-147</v>
      </c>
      <c r="U25" s="43">
        <v>46025</v>
      </c>
      <c r="V25" s="43">
        <v>46054</v>
      </c>
      <c r="W25" s="43">
        <v>46082</v>
      </c>
      <c r="X25" s="43"/>
      <c r="Y25" s="43"/>
      <c r="Z25" s="43"/>
      <c r="AA25" s="43"/>
      <c r="AB25" s="43"/>
      <c r="AC25" s="43"/>
      <c r="AD25" s="43"/>
      <c r="AE25" s="43"/>
      <c r="AF25" s="43"/>
    </row>
    <row r="26" spans="1:32" ht="15" thickBot="1" x14ac:dyDescent="0.4">
      <c r="A26" s="8"/>
      <c r="B26" s="100"/>
      <c r="C26" s="55"/>
      <c r="D26" s="55"/>
      <c r="E26" s="55"/>
      <c r="F26" s="55"/>
      <c r="G26" s="55"/>
      <c r="H26" s="55"/>
      <c r="I26" s="91"/>
      <c r="J26" s="17" t="s">
        <v>15</v>
      </c>
      <c r="K26" s="14" t="s">
        <v>63</v>
      </c>
      <c r="L26" s="14" t="s">
        <v>67</v>
      </c>
      <c r="M26" s="18" t="s">
        <v>66</v>
      </c>
      <c r="N26" s="76"/>
      <c r="O26" s="55"/>
      <c r="P26" s="55"/>
      <c r="Q26" s="67">
        <v>45059</v>
      </c>
      <c r="R26" s="70">
        <f>Q26+60</f>
        <v>45119</v>
      </c>
      <c r="S26" s="55" t="str">
        <f t="shared" ref="S26" ca="1" si="18">IF(T26&gt;=6,"Vigente",IF(AND(T26&gt;=1,T26&lt;=5),"Por Vencer","Vencido"))</f>
        <v>Vencido</v>
      </c>
      <c r="T26" s="58">
        <f ca="1">R26-TODAY()</f>
        <v>-1112</v>
      </c>
      <c r="U26" s="44" t="s">
        <v>36</v>
      </c>
      <c r="V26" s="44" t="s">
        <v>36</v>
      </c>
      <c r="W26" s="44" t="s">
        <v>36</v>
      </c>
      <c r="X26" s="44" t="s">
        <v>36</v>
      </c>
      <c r="Y26" s="44" t="s">
        <v>36</v>
      </c>
      <c r="Z26" s="44" t="s">
        <v>36</v>
      </c>
      <c r="AA26" s="44" t="s">
        <v>36</v>
      </c>
      <c r="AB26" s="44" t="s">
        <v>36</v>
      </c>
      <c r="AC26" s="44" t="s">
        <v>36</v>
      </c>
      <c r="AD26" s="44" t="s">
        <v>36</v>
      </c>
      <c r="AE26" s="44" t="s">
        <v>36</v>
      </c>
      <c r="AF26" s="44" t="s">
        <v>36</v>
      </c>
    </row>
    <row r="27" spans="1:32" x14ac:dyDescent="0.35">
      <c r="B27" s="98">
        <v>6</v>
      </c>
      <c r="C27" s="53" t="s">
        <v>24</v>
      </c>
      <c r="D27" s="53" t="s">
        <v>15</v>
      </c>
      <c r="E27" s="53" t="s">
        <v>26</v>
      </c>
      <c r="F27" s="53" t="s">
        <v>25</v>
      </c>
      <c r="G27" s="53" t="s">
        <v>15</v>
      </c>
      <c r="H27" s="53" t="s">
        <v>17</v>
      </c>
      <c r="I27" s="89" t="s">
        <v>59</v>
      </c>
      <c r="J27" s="15" t="s">
        <v>15</v>
      </c>
      <c r="K27" s="3" t="s">
        <v>62</v>
      </c>
      <c r="L27" s="3" t="s">
        <v>29</v>
      </c>
      <c r="M27" s="20" t="s">
        <v>79</v>
      </c>
      <c r="N27" s="74" t="s">
        <v>15</v>
      </c>
      <c r="O27" s="53" t="s">
        <v>68</v>
      </c>
      <c r="P27" s="53" t="s">
        <v>83</v>
      </c>
      <c r="Q27" s="65">
        <v>46201</v>
      </c>
      <c r="R27" s="68">
        <f t="shared" si="14"/>
        <v>46231</v>
      </c>
      <c r="S27" s="53" t="str">
        <f t="shared" ca="1" si="0"/>
        <v>Vencido</v>
      </c>
      <c r="T27" s="56">
        <f t="shared" ca="1" si="11"/>
        <v>0</v>
      </c>
      <c r="U27" s="42">
        <v>45667</v>
      </c>
      <c r="V27" s="42">
        <v>45689</v>
      </c>
      <c r="W27" s="42">
        <v>46082</v>
      </c>
      <c r="X27" s="42">
        <v>46138</v>
      </c>
      <c r="Y27" s="42">
        <v>46152</v>
      </c>
      <c r="Z27" s="42">
        <v>46201</v>
      </c>
      <c r="AA27" s="42"/>
      <c r="AB27" s="42"/>
      <c r="AC27" s="42"/>
      <c r="AD27" s="42"/>
      <c r="AE27" s="42"/>
      <c r="AF27" s="42"/>
    </row>
    <row r="28" spans="1:32" ht="15" customHeight="1" x14ac:dyDescent="0.35">
      <c r="A28" s="6"/>
      <c r="B28" s="99"/>
      <c r="C28" s="54"/>
      <c r="D28" s="54"/>
      <c r="E28" s="54"/>
      <c r="F28" s="54"/>
      <c r="G28" s="54"/>
      <c r="H28" s="54"/>
      <c r="I28" s="90"/>
      <c r="J28" s="15" t="s">
        <v>15</v>
      </c>
      <c r="K28" s="3" t="s">
        <v>62</v>
      </c>
      <c r="L28" s="3" t="s">
        <v>29</v>
      </c>
      <c r="M28" s="16" t="s">
        <v>81</v>
      </c>
      <c r="N28" s="75"/>
      <c r="O28" s="54"/>
      <c r="P28" s="54"/>
      <c r="Q28" s="66">
        <v>46025</v>
      </c>
      <c r="R28" s="69">
        <f>Q28+60</f>
        <v>46085</v>
      </c>
      <c r="S28" s="54" t="str">
        <f t="shared" ca="1" si="0"/>
        <v>Vencido</v>
      </c>
      <c r="T28" s="57">
        <f t="shared" ca="1" si="11"/>
        <v>-146</v>
      </c>
      <c r="U28" s="43">
        <v>46025</v>
      </c>
      <c r="V28" s="43" t="s">
        <v>12</v>
      </c>
      <c r="W28" s="43">
        <v>46088</v>
      </c>
      <c r="X28" s="43"/>
      <c r="Y28" s="43">
        <v>46144</v>
      </c>
      <c r="Z28" s="43"/>
      <c r="AA28" s="43">
        <v>46207</v>
      </c>
      <c r="AB28" s="43"/>
      <c r="AC28" s="43">
        <v>46270</v>
      </c>
      <c r="AD28" s="43"/>
      <c r="AE28" s="43">
        <v>46333</v>
      </c>
      <c r="AF28" s="43"/>
    </row>
    <row r="29" spans="1:32" x14ac:dyDescent="0.35">
      <c r="A29" s="7"/>
      <c r="B29" s="99"/>
      <c r="C29" s="54"/>
      <c r="D29" s="54"/>
      <c r="E29" s="54"/>
      <c r="F29" s="54"/>
      <c r="G29" s="54"/>
      <c r="H29" s="54"/>
      <c r="I29" s="90"/>
      <c r="J29" s="15" t="s">
        <v>15</v>
      </c>
      <c r="K29" s="3" t="s">
        <v>62</v>
      </c>
      <c r="L29" s="3" t="s">
        <v>29</v>
      </c>
      <c r="M29" s="16" t="s">
        <v>80</v>
      </c>
      <c r="N29" s="75"/>
      <c r="O29" s="54"/>
      <c r="P29" s="54"/>
      <c r="Q29" s="66">
        <v>46054</v>
      </c>
      <c r="R29" s="69">
        <f t="shared" ref="R29" si="19">Q29+30</f>
        <v>46084</v>
      </c>
      <c r="S29" s="54" t="str">
        <f ca="1">IF(T29&gt;=6,"Vigente",IF(AND(T29&gt;=1,T29&lt;=5),"Por Vencer","Vencido"))</f>
        <v>Vencido</v>
      </c>
      <c r="T29" s="57">
        <f t="shared" ca="1" si="11"/>
        <v>-147</v>
      </c>
      <c r="U29" s="43">
        <v>46025</v>
      </c>
      <c r="V29" s="43">
        <v>46054</v>
      </c>
      <c r="W29" s="43">
        <v>46082</v>
      </c>
      <c r="X29" s="43"/>
      <c r="Y29" s="43"/>
      <c r="Z29" s="43"/>
      <c r="AA29" s="43"/>
      <c r="AB29" s="43"/>
      <c r="AC29" s="43"/>
      <c r="AD29" s="43"/>
      <c r="AE29" s="43"/>
      <c r="AF29" s="43"/>
    </row>
    <row r="30" spans="1:32" ht="15" thickBot="1" x14ac:dyDescent="0.4">
      <c r="A30" s="8"/>
      <c r="B30" s="100"/>
      <c r="C30" s="55"/>
      <c r="D30" s="55"/>
      <c r="E30" s="55"/>
      <c r="F30" s="55"/>
      <c r="G30" s="55"/>
      <c r="H30" s="55"/>
      <c r="I30" s="91"/>
      <c r="J30" s="23" t="s">
        <v>15</v>
      </c>
      <c r="K30" s="24" t="s">
        <v>63</v>
      </c>
      <c r="L30" s="14"/>
      <c r="M30" s="18" t="s">
        <v>82</v>
      </c>
      <c r="N30" s="76"/>
      <c r="O30" s="55"/>
      <c r="P30" s="55"/>
      <c r="Q30" s="67">
        <v>45059</v>
      </c>
      <c r="R30" s="70">
        <f>Q30+60</f>
        <v>45119</v>
      </c>
      <c r="S30" s="55" t="str">
        <f t="shared" ref="S30" ca="1" si="20">IF(T30&gt;=6,"Vigente",IF(AND(T30&gt;=1,T30&lt;=5),"Por Vencer","Vencido"))</f>
        <v>Vencido</v>
      </c>
      <c r="T30" s="58">
        <f ca="1">R30-TODAY()</f>
        <v>-1112</v>
      </c>
      <c r="U30" s="44" t="s">
        <v>36</v>
      </c>
      <c r="V30" s="44" t="s">
        <v>36</v>
      </c>
      <c r="W30" s="44" t="s">
        <v>36</v>
      </c>
      <c r="X30" s="44" t="s">
        <v>36</v>
      </c>
      <c r="Y30" s="44" t="s">
        <v>36</v>
      </c>
      <c r="Z30" s="44" t="s">
        <v>36</v>
      </c>
      <c r="AA30" s="44" t="s">
        <v>36</v>
      </c>
      <c r="AB30" s="44" t="s">
        <v>36</v>
      </c>
      <c r="AC30" s="44" t="s">
        <v>36</v>
      </c>
      <c r="AD30" s="44" t="s">
        <v>36</v>
      </c>
      <c r="AE30" s="44" t="s">
        <v>36</v>
      </c>
      <c r="AF30" s="44" t="s">
        <v>36</v>
      </c>
    </row>
    <row r="31" spans="1:32" x14ac:dyDescent="0.35">
      <c r="B31" s="98">
        <v>7</v>
      </c>
      <c r="C31" s="53" t="s">
        <v>27</v>
      </c>
      <c r="D31" s="53" t="s">
        <v>15</v>
      </c>
      <c r="E31" s="53" t="s">
        <v>29</v>
      </c>
      <c r="F31" s="53" t="s">
        <v>28</v>
      </c>
      <c r="G31" s="53" t="s">
        <v>15</v>
      </c>
      <c r="H31" s="53" t="s">
        <v>55</v>
      </c>
      <c r="I31" s="89" t="s">
        <v>53</v>
      </c>
      <c r="J31" s="21" t="s">
        <v>15</v>
      </c>
      <c r="K31" s="22" t="s">
        <v>62</v>
      </c>
      <c r="L31" s="13" t="s">
        <v>55</v>
      </c>
      <c r="M31" s="20" t="s">
        <v>84</v>
      </c>
      <c r="N31" s="74" t="s">
        <v>36</v>
      </c>
      <c r="O31" s="53" t="s">
        <v>36</v>
      </c>
      <c r="P31" s="53" t="s">
        <v>36</v>
      </c>
      <c r="Q31" s="65">
        <v>46194</v>
      </c>
      <c r="R31" s="68">
        <f t="shared" si="14"/>
        <v>46224</v>
      </c>
      <c r="S31" s="53" t="str">
        <f t="shared" ca="1" si="0"/>
        <v>Vencido</v>
      </c>
      <c r="T31" s="56">
        <f t="shared" ca="1" si="11"/>
        <v>-7</v>
      </c>
      <c r="U31" s="42">
        <v>45661</v>
      </c>
      <c r="V31" s="42">
        <v>45695</v>
      </c>
      <c r="W31" s="42">
        <v>46089</v>
      </c>
      <c r="X31" s="42">
        <v>46130</v>
      </c>
      <c r="Y31" s="42">
        <v>46151</v>
      </c>
      <c r="Z31" s="42">
        <v>46194</v>
      </c>
      <c r="AA31" s="42"/>
      <c r="AB31" s="42"/>
      <c r="AC31" s="42"/>
      <c r="AD31" s="42"/>
      <c r="AE31" s="42"/>
      <c r="AF31" s="42"/>
    </row>
    <row r="32" spans="1:32" ht="15" customHeight="1" x14ac:dyDescent="0.35">
      <c r="A32" s="6"/>
      <c r="B32" s="99"/>
      <c r="C32" s="54"/>
      <c r="D32" s="54"/>
      <c r="E32" s="54"/>
      <c r="F32" s="54"/>
      <c r="G32" s="54"/>
      <c r="H32" s="54"/>
      <c r="I32" s="90"/>
      <c r="J32" s="15" t="s">
        <v>15</v>
      </c>
      <c r="K32" s="3" t="s">
        <v>62</v>
      </c>
      <c r="L32" s="3" t="s">
        <v>55</v>
      </c>
      <c r="M32" s="16" t="s">
        <v>85</v>
      </c>
      <c r="N32" s="75"/>
      <c r="O32" s="54"/>
      <c r="P32" s="54"/>
      <c r="Q32" s="66">
        <v>46025</v>
      </c>
      <c r="R32" s="69">
        <f>Q32+60</f>
        <v>46085</v>
      </c>
      <c r="S32" s="54" t="str">
        <f t="shared" ref="S32" ca="1" si="21">IF(T32&gt;=6,"Vigente",IF(AND(T32&gt;=1,T32&lt;=5),"Por Vencer","Vencido"))</f>
        <v>Vencido</v>
      </c>
      <c r="T32" s="57">
        <f t="shared" ref="T32:T33" ca="1" si="22">R32-TODAY()</f>
        <v>-146</v>
      </c>
      <c r="U32" s="43">
        <v>46025</v>
      </c>
      <c r="V32" s="43" t="s">
        <v>12</v>
      </c>
      <c r="W32" s="43">
        <v>46088</v>
      </c>
      <c r="X32" s="43"/>
      <c r="Y32" s="43">
        <v>46144</v>
      </c>
      <c r="Z32" s="43"/>
      <c r="AA32" s="43">
        <v>46207</v>
      </c>
      <c r="AB32" s="43"/>
      <c r="AC32" s="43">
        <v>46270</v>
      </c>
      <c r="AD32" s="43"/>
      <c r="AE32" s="43">
        <v>46333</v>
      </c>
      <c r="AF32" s="43"/>
    </row>
    <row r="33" spans="1:32" x14ac:dyDescent="0.35">
      <c r="A33" s="7"/>
      <c r="B33" s="99"/>
      <c r="C33" s="54"/>
      <c r="D33" s="54"/>
      <c r="E33" s="54"/>
      <c r="F33" s="54"/>
      <c r="G33" s="54"/>
      <c r="H33" s="54"/>
      <c r="I33" s="90"/>
      <c r="J33" s="15" t="s">
        <v>15</v>
      </c>
      <c r="K33" s="3" t="s">
        <v>62</v>
      </c>
      <c r="L33" s="3" t="s">
        <v>55</v>
      </c>
      <c r="M33" s="16" t="s">
        <v>86</v>
      </c>
      <c r="N33" s="75"/>
      <c r="O33" s="54"/>
      <c r="P33" s="54"/>
      <c r="Q33" s="66">
        <v>46054</v>
      </c>
      <c r="R33" s="69">
        <f t="shared" ref="R33" si="23">Q33+30</f>
        <v>46084</v>
      </c>
      <c r="S33" s="54" t="str">
        <f ca="1">IF(T33&gt;=6,"Vigente",IF(AND(T33&gt;=1,T33&lt;=5),"Por Vencer","Vencido"))</f>
        <v>Vencido</v>
      </c>
      <c r="T33" s="57">
        <f t="shared" ca="1" si="22"/>
        <v>-147</v>
      </c>
      <c r="U33" s="43">
        <v>46025</v>
      </c>
      <c r="V33" s="43">
        <v>46054</v>
      </c>
      <c r="W33" s="43">
        <v>46082</v>
      </c>
      <c r="X33" s="43"/>
      <c r="Y33" s="43"/>
      <c r="Z33" s="43"/>
      <c r="AA33" s="43"/>
      <c r="AB33" s="43"/>
      <c r="AC33" s="43"/>
      <c r="AD33" s="43"/>
      <c r="AE33" s="43"/>
      <c r="AF33" s="43"/>
    </row>
    <row r="34" spans="1:32" ht="15" thickBot="1" x14ac:dyDescent="0.4">
      <c r="A34" s="8"/>
      <c r="B34" s="100"/>
      <c r="C34" s="55"/>
      <c r="D34" s="55"/>
      <c r="E34" s="55"/>
      <c r="F34" s="55"/>
      <c r="G34" s="55"/>
      <c r="H34" s="55"/>
      <c r="I34" s="91"/>
      <c r="J34" s="17"/>
      <c r="K34" s="14"/>
      <c r="L34" s="14"/>
      <c r="M34" s="18"/>
      <c r="N34" s="76"/>
      <c r="O34" s="55"/>
      <c r="P34" s="55"/>
      <c r="Q34" s="67">
        <v>45059</v>
      </c>
      <c r="R34" s="70">
        <f>Q34+60</f>
        <v>45119</v>
      </c>
      <c r="S34" s="55" t="str">
        <f t="shared" ref="S34" ca="1" si="24">IF(T34&gt;=6,"Vigente",IF(AND(T34&gt;=1,T34&lt;=5),"Por Vencer","Vencido"))</f>
        <v>Vencido</v>
      </c>
      <c r="T34" s="58">
        <f ca="1">R34-TODAY()</f>
        <v>-1112</v>
      </c>
      <c r="U34" s="44" t="s">
        <v>36</v>
      </c>
      <c r="V34" s="44" t="s">
        <v>36</v>
      </c>
      <c r="W34" s="44" t="s">
        <v>36</v>
      </c>
      <c r="X34" s="44" t="s">
        <v>36</v>
      </c>
      <c r="Y34" s="44" t="s">
        <v>36</v>
      </c>
      <c r="Z34" s="44" t="s">
        <v>36</v>
      </c>
      <c r="AA34" s="44" t="s">
        <v>36</v>
      </c>
      <c r="AB34" s="44" t="s">
        <v>36</v>
      </c>
      <c r="AC34" s="44" t="s">
        <v>36</v>
      </c>
      <c r="AD34" s="44" t="s">
        <v>36</v>
      </c>
      <c r="AE34" s="44" t="s">
        <v>36</v>
      </c>
      <c r="AF34" s="44" t="s">
        <v>36</v>
      </c>
    </row>
    <row r="35" spans="1:32" x14ac:dyDescent="0.35">
      <c r="B35" s="98">
        <v>8</v>
      </c>
      <c r="C35" s="86" t="s">
        <v>30</v>
      </c>
      <c r="D35" s="86" t="s">
        <v>15</v>
      </c>
      <c r="E35" s="86" t="s">
        <v>32</v>
      </c>
      <c r="F35" s="86" t="s">
        <v>31</v>
      </c>
      <c r="G35" s="86" t="s">
        <v>15</v>
      </c>
      <c r="H35" s="86" t="s">
        <v>8</v>
      </c>
      <c r="I35" s="92" t="s">
        <v>51</v>
      </c>
      <c r="J35" s="25" t="s">
        <v>15</v>
      </c>
      <c r="K35" s="26" t="s">
        <v>62</v>
      </c>
      <c r="L35" s="26" t="s">
        <v>67</v>
      </c>
      <c r="M35" s="27" t="s">
        <v>87</v>
      </c>
      <c r="N35" s="83" t="s">
        <v>36</v>
      </c>
      <c r="O35" s="86" t="s">
        <v>36</v>
      </c>
      <c r="P35" s="86" t="s">
        <v>36</v>
      </c>
      <c r="Q35" s="45">
        <v>46049</v>
      </c>
      <c r="R35" s="59">
        <f>Q35+30</f>
        <v>46079</v>
      </c>
      <c r="S35" s="53" t="str">
        <f t="shared" ca="1" si="0"/>
        <v>Vencido</v>
      </c>
      <c r="T35" s="56">
        <f t="shared" ca="1" si="11"/>
        <v>-152</v>
      </c>
      <c r="U35" s="42">
        <v>46049</v>
      </c>
      <c r="V35" s="62">
        <v>46081</v>
      </c>
      <c r="W35" s="48">
        <v>46110</v>
      </c>
      <c r="X35" s="48">
        <v>46138</v>
      </c>
      <c r="Y35" s="48">
        <v>46172</v>
      </c>
      <c r="Z35" s="48">
        <v>46201</v>
      </c>
      <c r="AA35" s="42"/>
      <c r="AB35" s="42"/>
      <c r="AC35" s="42"/>
      <c r="AD35" s="42"/>
      <c r="AE35" s="42"/>
      <c r="AF35" s="42"/>
    </row>
    <row r="36" spans="1:32" ht="15" customHeight="1" x14ac:dyDescent="0.35">
      <c r="A36" s="6"/>
      <c r="B36" s="99"/>
      <c r="C36" s="87"/>
      <c r="D36" s="87"/>
      <c r="E36" s="87"/>
      <c r="F36" s="87"/>
      <c r="G36" s="87"/>
      <c r="H36" s="87"/>
      <c r="I36" s="93"/>
      <c r="J36" s="28" t="s">
        <v>15</v>
      </c>
      <c r="K36" s="29" t="s">
        <v>62</v>
      </c>
      <c r="L36" s="29" t="s">
        <v>67</v>
      </c>
      <c r="M36" s="30" t="s">
        <v>88</v>
      </c>
      <c r="N36" s="84"/>
      <c r="O36" s="87"/>
      <c r="P36" s="87"/>
      <c r="Q36" s="46">
        <v>46025</v>
      </c>
      <c r="R36" s="60">
        <f>Q36+60</f>
        <v>46085</v>
      </c>
      <c r="S36" s="54" t="str">
        <f t="shared" ca="1" si="0"/>
        <v>Vencido</v>
      </c>
      <c r="T36" s="57">
        <f t="shared" ca="1" si="11"/>
        <v>-146</v>
      </c>
      <c r="U36" s="43">
        <v>46025</v>
      </c>
      <c r="V36" s="63" t="s">
        <v>12</v>
      </c>
      <c r="W36" s="49">
        <v>46088</v>
      </c>
      <c r="X36" s="49"/>
      <c r="Y36" s="49">
        <v>46144</v>
      </c>
      <c r="Z36" s="49"/>
      <c r="AA36" s="43">
        <v>46207</v>
      </c>
      <c r="AB36" s="43"/>
      <c r="AC36" s="43">
        <v>46270</v>
      </c>
      <c r="AD36" s="43"/>
      <c r="AE36" s="43">
        <v>46333</v>
      </c>
      <c r="AF36" s="43"/>
    </row>
    <row r="37" spans="1:32" x14ac:dyDescent="0.35">
      <c r="A37" s="7"/>
      <c r="B37" s="99"/>
      <c r="C37" s="87"/>
      <c r="D37" s="87"/>
      <c r="E37" s="87"/>
      <c r="F37" s="87"/>
      <c r="G37" s="87"/>
      <c r="H37" s="87"/>
      <c r="I37" s="93"/>
      <c r="J37" s="28" t="s">
        <v>15</v>
      </c>
      <c r="K37" s="29" t="s">
        <v>62</v>
      </c>
      <c r="L37" s="29" t="s">
        <v>67</v>
      </c>
      <c r="M37" s="30" t="s">
        <v>89</v>
      </c>
      <c r="N37" s="84"/>
      <c r="O37" s="87"/>
      <c r="P37" s="87"/>
      <c r="Q37" s="46">
        <v>46054</v>
      </c>
      <c r="R37" s="60">
        <f t="shared" ref="R37" si="25">Q37+30</f>
        <v>46084</v>
      </c>
      <c r="S37" s="54" t="str">
        <f ca="1">IF(T37&gt;=6,"Vigente",IF(AND(T37&gt;=1,T37&lt;=5),"Por Vencer","Vencido"))</f>
        <v>Vencido</v>
      </c>
      <c r="T37" s="57">
        <f t="shared" ca="1" si="11"/>
        <v>-147</v>
      </c>
      <c r="U37" s="43">
        <v>46025</v>
      </c>
      <c r="V37" s="63">
        <v>46054</v>
      </c>
      <c r="W37" s="49">
        <v>46082</v>
      </c>
      <c r="X37" s="49"/>
      <c r="Y37" s="49"/>
      <c r="Z37" s="49"/>
      <c r="AA37" s="43"/>
      <c r="AB37" s="43"/>
      <c r="AC37" s="43"/>
      <c r="AD37" s="43"/>
      <c r="AE37" s="43"/>
      <c r="AF37" s="43"/>
    </row>
    <row r="38" spans="1:32" ht="15" thickBot="1" x14ac:dyDescent="0.4">
      <c r="A38" s="8"/>
      <c r="B38" s="100"/>
      <c r="C38" s="88"/>
      <c r="D38" s="88"/>
      <c r="E38" s="88"/>
      <c r="F38" s="88"/>
      <c r="G38" s="88"/>
      <c r="H38" s="88"/>
      <c r="I38" s="94"/>
      <c r="J38" s="31" t="s">
        <v>15</v>
      </c>
      <c r="K38" s="32" t="s">
        <v>62</v>
      </c>
      <c r="L38" s="32" t="s">
        <v>67</v>
      </c>
      <c r="M38" s="33" t="s">
        <v>90</v>
      </c>
      <c r="N38" s="85"/>
      <c r="O38" s="88"/>
      <c r="P38" s="88"/>
      <c r="Q38" s="47">
        <v>45059</v>
      </c>
      <c r="R38" s="61">
        <f>Q38+60</f>
        <v>45119</v>
      </c>
      <c r="S38" s="55" t="str">
        <f t="shared" ref="S38" ca="1" si="26">IF(T38&gt;=6,"Vigente",IF(AND(T38&gt;=1,T38&lt;=5),"Por Vencer","Vencido"))</f>
        <v>Vencido</v>
      </c>
      <c r="T38" s="58">
        <f ca="1">R38-TODAY()</f>
        <v>-1112</v>
      </c>
      <c r="U38" s="44" t="s">
        <v>36</v>
      </c>
      <c r="V38" s="64" t="s">
        <v>36</v>
      </c>
      <c r="W38" s="50" t="s">
        <v>36</v>
      </c>
      <c r="X38" s="50" t="s">
        <v>36</v>
      </c>
      <c r="Y38" s="50" t="s">
        <v>36</v>
      </c>
      <c r="Z38" s="50" t="s">
        <v>36</v>
      </c>
      <c r="AA38" s="44" t="s">
        <v>36</v>
      </c>
      <c r="AB38" s="44" t="s">
        <v>36</v>
      </c>
      <c r="AC38" s="44" t="s">
        <v>36</v>
      </c>
      <c r="AD38" s="44" t="s">
        <v>36</v>
      </c>
      <c r="AE38" s="44" t="s">
        <v>36</v>
      </c>
      <c r="AF38" s="44" t="s">
        <v>36</v>
      </c>
    </row>
    <row r="39" spans="1:32" x14ac:dyDescent="0.35">
      <c r="B39" s="98">
        <v>9</v>
      </c>
      <c r="C39" s="53" t="s">
        <v>33</v>
      </c>
      <c r="D39" s="53" t="s">
        <v>15</v>
      </c>
      <c r="E39" s="53" t="s">
        <v>32</v>
      </c>
      <c r="F39" s="53" t="s">
        <v>34</v>
      </c>
      <c r="G39" s="53" t="s">
        <v>15</v>
      </c>
      <c r="H39" s="53" t="s">
        <v>55</v>
      </c>
      <c r="I39" s="89" t="s">
        <v>52</v>
      </c>
      <c r="J39" s="19" t="s">
        <v>15</v>
      </c>
      <c r="K39" s="13" t="s">
        <v>62</v>
      </c>
      <c r="L39" s="3" t="s">
        <v>29</v>
      </c>
      <c r="M39" s="20" t="s">
        <v>91</v>
      </c>
      <c r="N39" s="74" t="s">
        <v>36</v>
      </c>
      <c r="O39" s="53" t="s">
        <v>36</v>
      </c>
      <c r="P39" s="53" t="s">
        <v>36</v>
      </c>
      <c r="Q39" s="65">
        <v>46207</v>
      </c>
      <c r="R39" s="68">
        <f t="shared" si="14"/>
        <v>46237</v>
      </c>
      <c r="S39" s="53" t="str">
        <f t="shared" ca="1" si="0"/>
        <v>Vigente</v>
      </c>
      <c r="T39" s="56">
        <f t="shared" ca="1" si="11"/>
        <v>6</v>
      </c>
      <c r="U39" s="42">
        <v>46025</v>
      </c>
      <c r="V39" s="42">
        <v>46054</v>
      </c>
      <c r="W39" s="42">
        <v>46096</v>
      </c>
      <c r="X39" s="42">
        <v>46122</v>
      </c>
      <c r="Y39" s="42">
        <v>46173</v>
      </c>
      <c r="Z39" s="42"/>
      <c r="AA39" s="42">
        <v>46207</v>
      </c>
      <c r="AB39" s="42"/>
      <c r="AC39" s="42"/>
      <c r="AD39" s="42"/>
      <c r="AE39" s="42"/>
      <c r="AF39" s="42"/>
    </row>
    <row r="40" spans="1:32" ht="15" customHeight="1" x14ac:dyDescent="0.35">
      <c r="A40" s="6"/>
      <c r="B40" s="99"/>
      <c r="C40" s="54"/>
      <c r="D40" s="54"/>
      <c r="E40" s="54"/>
      <c r="F40" s="54"/>
      <c r="G40" s="54"/>
      <c r="H40" s="54"/>
      <c r="I40" s="90"/>
      <c r="J40" s="15" t="s">
        <v>15</v>
      </c>
      <c r="K40" s="3" t="s">
        <v>62</v>
      </c>
      <c r="L40" s="3" t="s">
        <v>29</v>
      </c>
      <c r="M40" s="16" t="s">
        <v>92</v>
      </c>
      <c r="N40" s="75"/>
      <c r="O40" s="54"/>
      <c r="P40" s="54"/>
      <c r="Q40" s="66">
        <v>46025</v>
      </c>
      <c r="R40" s="69">
        <f>Q40+60</f>
        <v>46085</v>
      </c>
      <c r="S40" s="54" t="str">
        <f t="shared" ref="S40" ca="1" si="27">IF(T40&gt;=6,"Vigente",IF(AND(T40&gt;=1,T40&lt;=5),"Por Vencer","Vencido"))</f>
        <v>Vencido</v>
      </c>
      <c r="T40" s="57">
        <f t="shared" ref="T40:T41" ca="1" si="28">R40-TODAY()</f>
        <v>-146</v>
      </c>
      <c r="U40" s="43">
        <v>46025</v>
      </c>
      <c r="V40" s="43" t="s">
        <v>12</v>
      </c>
      <c r="W40" s="43">
        <v>46088</v>
      </c>
      <c r="X40" s="43"/>
      <c r="Y40" s="43">
        <v>46144</v>
      </c>
      <c r="Z40" s="43"/>
      <c r="AA40" s="43">
        <v>46207</v>
      </c>
      <c r="AB40" s="43"/>
      <c r="AC40" s="43">
        <v>46270</v>
      </c>
      <c r="AD40" s="43"/>
      <c r="AE40" s="43">
        <v>46333</v>
      </c>
      <c r="AF40" s="43"/>
    </row>
    <row r="41" spans="1:32" x14ac:dyDescent="0.35">
      <c r="A41" s="7"/>
      <c r="B41" s="99"/>
      <c r="C41" s="54"/>
      <c r="D41" s="54"/>
      <c r="E41" s="54"/>
      <c r="F41" s="54"/>
      <c r="G41" s="54"/>
      <c r="H41" s="54"/>
      <c r="I41" s="90"/>
      <c r="J41" s="15" t="s">
        <v>15</v>
      </c>
      <c r="K41" s="3" t="s">
        <v>62</v>
      </c>
      <c r="L41" s="3" t="s">
        <v>29</v>
      </c>
      <c r="M41" s="16" t="s">
        <v>93</v>
      </c>
      <c r="N41" s="75"/>
      <c r="O41" s="54"/>
      <c r="P41" s="54"/>
      <c r="Q41" s="66">
        <v>46054</v>
      </c>
      <c r="R41" s="69">
        <f t="shared" ref="R41" si="29">Q41+30</f>
        <v>46084</v>
      </c>
      <c r="S41" s="54" t="str">
        <f ca="1">IF(T41&gt;=6,"Vigente",IF(AND(T41&gt;=1,T41&lt;=5),"Por Vencer","Vencido"))</f>
        <v>Vencido</v>
      </c>
      <c r="T41" s="57">
        <f t="shared" ca="1" si="28"/>
        <v>-147</v>
      </c>
      <c r="U41" s="43">
        <v>46025</v>
      </c>
      <c r="V41" s="43">
        <v>46054</v>
      </c>
      <c r="W41" s="43">
        <v>46082</v>
      </c>
      <c r="X41" s="43"/>
      <c r="Y41" s="43"/>
      <c r="Z41" s="43"/>
      <c r="AA41" s="43"/>
      <c r="AB41" s="43"/>
      <c r="AC41" s="43"/>
      <c r="AD41" s="43"/>
      <c r="AE41" s="43"/>
      <c r="AF41" s="43"/>
    </row>
    <row r="42" spans="1:32" ht="15" thickBot="1" x14ac:dyDescent="0.4">
      <c r="A42" s="8"/>
      <c r="B42" s="100"/>
      <c r="C42" s="55"/>
      <c r="D42" s="55"/>
      <c r="E42" s="55"/>
      <c r="F42" s="55"/>
      <c r="G42" s="55"/>
      <c r="H42" s="55"/>
      <c r="I42" s="91"/>
      <c r="J42" s="17" t="s">
        <v>15</v>
      </c>
      <c r="K42" s="14" t="s">
        <v>62</v>
      </c>
      <c r="L42" s="14" t="s">
        <v>29</v>
      </c>
      <c r="M42" s="18" t="s">
        <v>94</v>
      </c>
      <c r="N42" s="76"/>
      <c r="O42" s="55"/>
      <c r="P42" s="55"/>
      <c r="Q42" s="67">
        <v>45059</v>
      </c>
      <c r="R42" s="70">
        <f>Q42+60</f>
        <v>45119</v>
      </c>
      <c r="S42" s="55" t="str">
        <f t="shared" ref="S42" ca="1" si="30">IF(T42&gt;=6,"Vigente",IF(AND(T42&gt;=1,T42&lt;=5),"Por Vencer","Vencido"))</f>
        <v>Vencido</v>
      </c>
      <c r="T42" s="58">
        <f ca="1">R42-TODAY()</f>
        <v>-1112</v>
      </c>
      <c r="U42" s="44" t="s">
        <v>36</v>
      </c>
      <c r="V42" s="44" t="s">
        <v>36</v>
      </c>
      <c r="W42" s="44" t="s">
        <v>36</v>
      </c>
      <c r="X42" s="44" t="s">
        <v>36</v>
      </c>
      <c r="Y42" s="44" t="s">
        <v>36</v>
      </c>
      <c r="Z42" s="44" t="s">
        <v>36</v>
      </c>
      <c r="AA42" s="44" t="s">
        <v>36</v>
      </c>
      <c r="AB42" s="44" t="s">
        <v>36</v>
      </c>
      <c r="AC42" s="44" t="s">
        <v>36</v>
      </c>
      <c r="AD42" s="44" t="s">
        <v>36</v>
      </c>
      <c r="AE42" s="44" t="s">
        <v>36</v>
      </c>
      <c r="AF42" s="44" t="s">
        <v>36</v>
      </c>
    </row>
    <row r="43" spans="1:32" x14ac:dyDescent="0.35">
      <c r="B43" s="98">
        <v>10</v>
      </c>
      <c r="C43" s="86" t="s">
        <v>49</v>
      </c>
      <c r="D43" s="86" t="s">
        <v>15</v>
      </c>
      <c r="E43" s="86" t="s">
        <v>32</v>
      </c>
      <c r="F43" s="86" t="s">
        <v>35</v>
      </c>
      <c r="G43" s="86" t="s">
        <v>15</v>
      </c>
      <c r="H43" s="86" t="s">
        <v>17</v>
      </c>
      <c r="I43" s="92" t="s">
        <v>60</v>
      </c>
      <c r="J43" s="25"/>
      <c r="K43" s="26"/>
      <c r="L43" s="26"/>
      <c r="M43" s="27"/>
      <c r="N43" s="83" t="s">
        <v>36</v>
      </c>
      <c r="O43" s="86" t="s">
        <v>36</v>
      </c>
      <c r="P43" s="86" t="s">
        <v>36</v>
      </c>
      <c r="Q43" s="45">
        <v>46060</v>
      </c>
      <c r="R43" s="59">
        <f t="shared" si="14"/>
        <v>46090</v>
      </c>
      <c r="S43" s="53" t="str">
        <f t="shared" ca="1" si="0"/>
        <v>Vencido</v>
      </c>
      <c r="T43" s="56">
        <f t="shared" ca="1" si="11"/>
        <v>-141</v>
      </c>
      <c r="U43" s="42">
        <v>46026</v>
      </c>
      <c r="V43" s="42">
        <v>46060</v>
      </c>
      <c r="W43" s="62">
        <v>46088</v>
      </c>
      <c r="X43" s="48">
        <v>46124</v>
      </c>
      <c r="Y43" s="42">
        <v>46158</v>
      </c>
      <c r="Z43" s="42"/>
      <c r="AA43" s="42"/>
      <c r="AB43" s="42"/>
      <c r="AC43" s="42"/>
      <c r="AD43" s="42"/>
      <c r="AE43" s="42"/>
      <c r="AF43" s="42"/>
    </row>
    <row r="44" spans="1:32" ht="15" customHeight="1" x14ac:dyDescent="0.35">
      <c r="A44" s="6"/>
      <c r="B44" s="99"/>
      <c r="C44" s="87"/>
      <c r="D44" s="87"/>
      <c r="E44" s="87"/>
      <c r="F44" s="87"/>
      <c r="G44" s="87"/>
      <c r="H44" s="87"/>
      <c r="I44" s="93"/>
      <c r="J44" s="28"/>
      <c r="K44" s="29"/>
      <c r="L44" s="29"/>
      <c r="M44" s="30"/>
      <c r="N44" s="84"/>
      <c r="O44" s="87"/>
      <c r="P44" s="87"/>
      <c r="Q44" s="46">
        <v>46025</v>
      </c>
      <c r="R44" s="60">
        <f>Q44+60</f>
        <v>46085</v>
      </c>
      <c r="S44" s="54" t="str">
        <f t="shared" ca="1" si="0"/>
        <v>Vencido</v>
      </c>
      <c r="T44" s="57">
        <f t="shared" ca="1" si="11"/>
        <v>-146</v>
      </c>
      <c r="U44" s="43">
        <v>46025</v>
      </c>
      <c r="V44" s="43" t="s">
        <v>12</v>
      </c>
      <c r="W44" s="63">
        <v>46088</v>
      </c>
      <c r="X44" s="49"/>
      <c r="Y44" s="43">
        <v>46144</v>
      </c>
      <c r="Z44" s="43"/>
      <c r="AA44" s="43">
        <v>46207</v>
      </c>
      <c r="AB44" s="43"/>
      <c r="AC44" s="43">
        <v>46270</v>
      </c>
      <c r="AD44" s="43"/>
      <c r="AE44" s="43">
        <v>46333</v>
      </c>
      <c r="AF44" s="43"/>
    </row>
    <row r="45" spans="1:32" x14ac:dyDescent="0.35">
      <c r="A45" s="7"/>
      <c r="B45" s="99"/>
      <c r="C45" s="87"/>
      <c r="D45" s="87"/>
      <c r="E45" s="87"/>
      <c r="F45" s="87"/>
      <c r="G45" s="87"/>
      <c r="H45" s="87"/>
      <c r="I45" s="93"/>
      <c r="J45" s="28"/>
      <c r="K45" s="29"/>
      <c r="L45" s="29"/>
      <c r="M45" s="30"/>
      <c r="N45" s="84"/>
      <c r="O45" s="87"/>
      <c r="P45" s="87"/>
      <c r="Q45" s="46">
        <v>46054</v>
      </c>
      <c r="R45" s="60">
        <f t="shared" ref="R45" si="31">Q45+30</f>
        <v>46084</v>
      </c>
      <c r="S45" s="54" t="str">
        <f ca="1">IF(T45&gt;=6,"Vigente",IF(AND(T45&gt;=1,T45&lt;=5),"Por Vencer","Vencido"))</f>
        <v>Vencido</v>
      </c>
      <c r="T45" s="57">
        <f t="shared" ca="1" si="11"/>
        <v>-147</v>
      </c>
      <c r="U45" s="43">
        <v>46025</v>
      </c>
      <c r="V45" s="43">
        <v>46054</v>
      </c>
      <c r="W45" s="63">
        <v>46082</v>
      </c>
      <c r="X45" s="49"/>
      <c r="Y45" s="43"/>
      <c r="Z45" s="43"/>
      <c r="AA45" s="43"/>
      <c r="AB45" s="43"/>
      <c r="AC45" s="43"/>
      <c r="AD45" s="43"/>
      <c r="AE45" s="43"/>
      <c r="AF45" s="43"/>
    </row>
    <row r="46" spans="1:32" ht="15" thickBot="1" x14ac:dyDescent="0.4">
      <c r="A46" s="8"/>
      <c r="B46" s="100"/>
      <c r="C46" s="88"/>
      <c r="D46" s="88"/>
      <c r="E46" s="88"/>
      <c r="F46" s="88"/>
      <c r="G46" s="88"/>
      <c r="H46" s="88"/>
      <c r="I46" s="94"/>
      <c r="J46" s="31"/>
      <c r="K46" s="32"/>
      <c r="L46" s="32"/>
      <c r="M46" s="33"/>
      <c r="N46" s="85"/>
      <c r="O46" s="88"/>
      <c r="P46" s="88"/>
      <c r="Q46" s="47">
        <v>45059</v>
      </c>
      <c r="R46" s="61">
        <f>Q46+60</f>
        <v>45119</v>
      </c>
      <c r="S46" s="55" t="str">
        <f t="shared" ref="S46" ca="1" si="32">IF(T46&gt;=6,"Vigente",IF(AND(T46&gt;=1,T46&lt;=5),"Por Vencer","Vencido"))</f>
        <v>Vencido</v>
      </c>
      <c r="T46" s="58">
        <f ca="1">R46-TODAY()</f>
        <v>-1112</v>
      </c>
      <c r="U46" s="44" t="s">
        <v>36</v>
      </c>
      <c r="V46" s="44" t="s">
        <v>36</v>
      </c>
      <c r="W46" s="64" t="s">
        <v>36</v>
      </c>
      <c r="X46" s="50" t="s">
        <v>36</v>
      </c>
      <c r="Y46" s="44" t="s">
        <v>36</v>
      </c>
      <c r="Z46" s="44" t="s">
        <v>36</v>
      </c>
      <c r="AA46" s="44" t="s">
        <v>36</v>
      </c>
      <c r="AB46" s="44" t="s">
        <v>36</v>
      </c>
      <c r="AC46" s="44" t="s">
        <v>36</v>
      </c>
      <c r="AD46" s="44" t="s">
        <v>36</v>
      </c>
      <c r="AE46" s="44" t="s">
        <v>36</v>
      </c>
      <c r="AF46" s="44" t="s">
        <v>36</v>
      </c>
    </row>
  </sheetData>
  <mergeCells count="281">
    <mergeCell ref="B1:C3"/>
    <mergeCell ref="D1:AD3"/>
    <mergeCell ref="AE1:AF3"/>
    <mergeCell ref="C7:C10"/>
    <mergeCell ref="B7:B10"/>
    <mergeCell ref="B11:B14"/>
    <mergeCell ref="B15:B18"/>
    <mergeCell ref="B19:B22"/>
    <mergeCell ref="D4:P4"/>
    <mergeCell ref="G5:I5"/>
    <mergeCell ref="J5:M5"/>
    <mergeCell ref="N5:P5"/>
    <mergeCell ref="D5:F5"/>
    <mergeCell ref="I7:I10"/>
    <mergeCell ref="D11:D14"/>
    <mergeCell ref="E11:E14"/>
    <mergeCell ref="F11:F14"/>
    <mergeCell ref="G11:G14"/>
    <mergeCell ref="H11:H14"/>
    <mergeCell ref="I11:I14"/>
    <mergeCell ref="D7:D10"/>
    <mergeCell ref="E7:E10"/>
    <mergeCell ref="F7:F10"/>
    <mergeCell ref="G7:G10"/>
    <mergeCell ref="H7:H10"/>
    <mergeCell ref="I15:I18"/>
    <mergeCell ref="D19:D22"/>
    <mergeCell ref="B43:B46"/>
    <mergeCell ref="C11:C14"/>
    <mergeCell ref="C15:C18"/>
    <mergeCell ref="C19:C22"/>
    <mergeCell ref="C23:C26"/>
    <mergeCell ref="C27:C30"/>
    <mergeCell ref="C31:C34"/>
    <mergeCell ref="C35:C38"/>
    <mergeCell ref="C39:C42"/>
    <mergeCell ref="C43:C46"/>
    <mergeCell ref="B23:B26"/>
    <mergeCell ref="B27:B30"/>
    <mergeCell ref="B31:B34"/>
    <mergeCell ref="B35:B38"/>
    <mergeCell ref="B39:B42"/>
    <mergeCell ref="E19:E22"/>
    <mergeCell ref="F19:F22"/>
    <mergeCell ref="G19:G22"/>
    <mergeCell ref="H19:H22"/>
    <mergeCell ref="I19:I22"/>
    <mergeCell ref="D15:D18"/>
    <mergeCell ref="E15:E18"/>
    <mergeCell ref="F15:F18"/>
    <mergeCell ref="G15:G18"/>
    <mergeCell ref="H15:H18"/>
    <mergeCell ref="D31:D34"/>
    <mergeCell ref="E31:E34"/>
    <mergeCell ref="F31:F34"/>
    <mergeCell ref="G31:G34"/>
    <mergeCell ref="H31:H34"/>
    <mergeCell ref="I23:I26"/>
    <mergeCell ref="D27:D30"/>
    <mergeCell ref="E27:E30"/>
    <mergeCell ref="F27:F30"/>
    <mergeCell ref="G27:G30"/>
    <mergeCell ref="H27:H30"/>
    <mergeCell ref="I27:I30"/>
    <mergeCell ref="D23:D26"/>
    <mergeCell ref="E23:E26"/>
    <mergeCell ref="F23:F26"/>
    <mergeCell ref="G23:G26"/>
    <mergeCell ref="H23:H26"/>
    <mergeCell ref="O7:O10"/>
    <mergeCell ref="P7:P10"/>
    <mergeCell ref="N11:N14"/>
    <mergeCell ref="O11:O14"/>
    <mergeCell ref="P11:P14"/>
    <mergeCell ref="I39:I42"/>
    <mergeCell ref="D43:D46"/>
    <mergeCell ref="E43:E46"/>
    <mergeCell ref="F43:F46"/>
    <mergeCell ref="G43:G46"/>
    <mergeCell ref="H43:H46"/>
    <mergeCell ref="I43:I46"/>
    <mergeCell ref="D39:D42"/>
    <mergeCell ref="E39:E42"/>
    <mergeCell ref="F39:F42"/>
    <mergeCell ref="G39:G42"/>
    <mergeCell ref="H39:H42"/>
    <mergeCell ref="I31:I34"/>
    <mergeCell ref="D35:D38"/>
    <mergeCell ref="E35:E38"/>
    <mergeCell ref="F35:F38"/>
    <mergeCell ref="G35:G38"/>
    <mergeCell ref="H35:H38"/>
    <mergeCell ref="I35:I38"/>
    <mergeCell ref="N43:N46"/>
    <mergeCell ref="O43:O46"/>
    <mergeCell ref="P43:P46"/>
    <mergeCell ref="N31:N34"/>
    <mergeCell ref="O31:O34"/>
    <mergeCell ref="P31:P34"/>
    <mergeCell ref="N35:N38"/>
    <mergeCell ref="O35:O38"/>
    <mergeCell ref="P35:P38"/>
    <mergeCell ref="R7:R10"/>
    <mergeCell ref="T7:T10"/>
    <mergeCell ref="U7:U10"/>
    <mergeCell ref="V7:V10"/>
    <mergeCell ref="W7:W10"/>
    <mergeCell ref="X7:X10"/>
    <mergeCell ref="Y7:Y10"/>
    <mergeCell ref="Z7:Z10"/>
    <mergeCell ref="N39:N42"/>
    <mergeCell ref="O39:O42"/>
    <mergeCell ref="P39:P42"/>
    <mergeCell ref="N23:N26"/>
    <mergeCell ref="O23:O26"/>
    <mergeCell ref="P23:P26"/>
    <mergeCell ref="N27:N30"/>
    <mergeCell ref="O27:O30"/>
    <mergeCell ref="P27:P30"/>
    <mergeCell ref="N15:N18"/>
    <mergeCell ref="O15:O18"/>
    <mergeCell ref="P15:P18"/>
    <mergeCell ref="N19:N22"/>
    <mergeCell ref="O19:O22"/>
    <mergeCell ref="P19:P22"/>
    <mergeCell ref="N7:N10"/>
    <mergeCell ref="AA7:AA10"/>
    <mergeCell ref="AB7:AB10"/>
    <mergeCell ref="AC7:AC10"/>
    <mergeCell ref="AD7:AD10"/>
    <mergeCell ref="AE7:AE10"/>
    <mergeCell ref="AF7:AF10"/>
    <mergeCell ref="S7:S10"/>
    <mergeCell ref="Q11:Q14"/>
    <mergeCell ref="R11:R14"/>
    <mergeCell ref="S11:S14"/>
    <mergeCell ref="T11:T14"/>
    <mergeCell ref="U11:U14"/>
    <mergeCell ref="V11:V14"/>
    <mergeCell ref="W11:W14"/>
    <mergeCell ref="X11:X14"/>
    <mergeCell ref="Y11:Y14"/>
    <mergeCell ref="Z11:Z14"/>
    <mergeCell ref="AA11:AA14"/>
    <mergeCell ref="AB11:AB14"/>
    <mergeCell ref="AC11:AC14"/>
    <mergeCell ref="AD11:AD14"/>
    <mergeCell ref="AE11:AE14"/>
    <mergeCell ref="AF11:AF14"/>
    <mergeCell ref="Q7:Q10"/>
    <mergeCell ref="AA15:AA18"/>
    <mergeCell ref="AB15:AB18"/>
    <mergeCell ref="AC15:AC18"/>
    <mergeCell ref="AD15:AD18"/>
    <mergeCell ref="AE15:AE18"/>
    <mergeCell ref="AF15:AF18"/>
    <mergeCell ref="Q19:Q22"/>
    <mergeCell ref="R19:R22"/>
    <mergeCell ref="S19:S22"/>
    <mergeCell ref="T19:T22"/>
    <mergeCell ref="U19:U22"/>
    <mergeCell ref="V19:V22"/>
    <mergeCell ref="W19:W22"/>
    <mergeCell ref="X19:X22"/>
    <mergeCell ref="Y19:Y22"/>
    <mergeCell ref="Z19:Z22"/>
    <mergeCell ref="AA19:AA22"/>
    <mergeCell ref="AB19:AB22"/>
    <mergeCell ref="AC19:AC22"/>
    <mergeCell ref="AD19:AD22"/>
    <mergeCell ref="AE19:AE22"/>
    <mergeCell ref="AF19:AF22"/>
    <mergeCell ref="Q15:Q18"/>
    <mergeCell ref="R15:R18"/>
    <mergeCell ref="Z15:Z18"/>
    <mergeCell ref="S15:S18"/>
    <mergeCell ref="T15:T18"/>
    <mergeCell ref="U15:U18"/>
    <mergeCell ref="V15:V18"/>
    <mergeCell ref="W15:W18"/>
    <mergeCell ref="X15:X18"/>
    <mergeCell ref="Y15:Y18"/>
    <mergeCell ref="Z23:Z26"/>
    <mergeCell ref="AF27:AF30"/>
    <mergeCell ref="Q23:Q26"/>
    <mergeCell ref="R23:R26"/>
    <mergeCell ref="S23:S26"/>
    <mergeCell ref="T23:T26"/>
    <mergeCell ref="U23:U26"/>
    <mergeCell ref="V23:V26"/>
    <mergeCell ref="W23:W26"/>
    <mergeCell ref="X23:X26"/>
    <mergeCell ref="Y23:Y26"/>
    <mergeCell ref="AF35:AF38"/>
    <mergeCell ref="Q31:Q34"/>
    <mergeCell ref="R31:R34"/>
    <mergeCell ref="AA23:AA26"/>
    <mergeCell ref="AB23:AB26"/>
    <mergeCell ref="AC23:AC26"/>
    <mergeCell ref="AD23:AD26"/>
    <mergeCell ref="AE23:AE26"/>
    <mergeCell ref="AF23:AF26"/>
    <mergeCell ref="Q27:Q30"/>
    <mergeCell ref="R27:R30"/>
    <mergeCell ref="S27:S30"/>
    <mergeCell ref="T27:T30"/>
    <mergeCell ref="U27:U30"/>
    <mergeCell ref="V27:V30"/>
    <mergeCell ref="W27:W30"/>
    <mergeCell ref="X27:X30"/>
    <mergeCell ref="Y27:Y30"/>
    <mergeCell ref="Z27:Z30"/>
    <mergeCell ref="AA27:AA30"/>
    <mergeCell ref="AB27:AB30"/>
    <mergeCell ref="AC27:AC30"/>
    <mergeCell ref="AD27:AD30"/>
    <mergeCell ref="AE27:AE30"/>
    <mergeCell ref="Q43:Q46"/>
    <mergeCell ref="R43:R46"/>
    <mergeCell ref="S43:S46"/>
    <mergeCell ref="T43:T46"/>
    <mergeCell ref="U43:U46"/>
    <mergeCell ref="V43:V46"/>
    <mergeCell ref="W43:W46"/>
    <mergeCell ref="R35:R38"/>
    <mergeCell ref="S35:S38"/>
    <mergeCell ref="T35:T38"/>
    <mergeCell ref="U35:U38"/>
    <mergeCell ref="V35:V38"/>
    <mergeCell ref="W35:W38"/>
    <mergeCell ref="Q39:Q42"/>
    <mergeCell ref="R39:R42"/>
    <mergeCell ref="S39:S42"/>
    <mergeCell ref="T39:T42"/>
    <mergeCell ref="U39:U42"/>
    <mergeCell ref="V39:V42"/>
    <mergeCell ref="W39:W42"/>
    <mergeCell ref="X39:X42"/>
    <mergeCell ref="Y39:Y42"/>
    <mergeCell ref="AD31:AD34"/>
    <mergeCell ref="AE31:AE34"/>
    <mergeCell ref="Z43:Z46"/>
    <mergeCell ref="AA43:AA46"/>
    <mergeCell ref="AB43:AB46"/>
    <mergeCell ref="AC43:AC46"/>
    <mergeCell ref="AD43:AD46"/>
    <mergeCell ref="AE43:AE46"/>
    <mergeCell ref="AB31:AB34"/>
    <mergeCell ref="AC31:AC34"/>
    <mergeCell ref="X35:X38"/>
    <mergeCell ref="Y35:Y38"/>
    <mergeCell ref="Z35:Z38"/>
    <mergeCell ref="AA35:AA38"/>
    <mergeCell ref="AB35:AB38"/>
    <mergeCell ref="AC35:AC38"/>
    <mergeCell ref="AD35:AD38"/>
    <mergeCell ref="AE35:AE38"/>
    <mergeCell ref="AF43:AF46"/>
    <mergeCell ref="Z39:Z42"/>
    <mergeCell ref="AF31:AF34"/>
    <mergeCell ref="Q35:Q38"/>
    <mergeCell ref="X43:X46"/>
    <mergeCell ref="Y43:Y46"/>
    <mergeCell ref="Q4:T5"/>
    <mergeCell ref="A4:C5"/>
    <mergeCell ref="U4:AF5"/>
    <mergeCell ref="AA39:AA42"/>
    <mergeCell ref="AB39:AB42"/>
    <mergeCell ref="AC39:AC42"/>
    <mergeCell ref="AD39:AD42"/>
    <mergeCell ref="AE39:AE42"/>
    <mergeCell ref="AF39:AF42"/>
    <mergeCell ref="Z31:Z34"/>
    <mergeCell ref="S31:S34"/>
    <mergeCell ref="T31:T34"/>
    <mergeCell ref="U31:U34"/>
    <mergeCell ref="V31:V34"/>
    <mergeCell ref="W31:W34"/>
    <mergeCell ref="X31:X34"/>
    <mergeCell ref="Y31:Y34"/>
    <mergeCell ref="AA31:AA34"/>
  </mergeCells>
  <conditionalFormatting sqref="S7 S11 S15 S19 S23 S27 S31 S35 S39 S43">
    <cfRule type="containsText" dxfId="6" priority="1" operator="containsText" text="Vencido">
      <formula>NOT(ISERROR(SEARCH("Vencido",S7)))</formula>
    </cfRule>
    <cfRule type="containsText" dxfId="5" priority="2" operator="containsText" text="Por Vencer">
      <formula>NOT(ISERROR(SEARCH("Por Vencer",S7)))</formula>
    </cfRule>
    <cfRule type="containsText" dxfId="4" priority="3" operator="containsText" text="Vigente">
      <formula>NOT(ISERROR(SEARCH("Vigente",S7)))</formula>
    </cfRule>
    <cfRule type="containsText" dxfId="3" priority="4" operator="containsText" text="vencida">
      <formula>NOT(ISERROR(SEARCH("vencida",S7)))</formula>
    </cfRule>
    <cfRule type="expression" dxfId="2" priority="5">
      <formula>SR7="VENCIDO"</formula>
    </cfRule>
    <cfRule type="expression" dxfId="1" priority="6">
      <formula>$S$8</formula>
    </cfRule>
    <cfRule type="expression" dxfId="0" priority="7">
      <formula>SR7="VENCIDA"</formula>
    </cfRule>
  </conditionalFormatting>
  <pageMargins left="0.7" right="0.7" top="0.75" bottom="0.75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COORDINADOR</dc:creator>
  <cp:lastModifiedBy>Ariel Costallat</cp:lastModifiedBy>
  <cp:lastPrinted>2026-07-28T18:45:52Z</cp:lastPrinted>
  <dcterms:created xsi:type="dcterms:W3CDTF">2024-12-03T15:04:32Z</dcterms:created>
  <dcterms:modified xsi:type="dcterms:W3CDTF">2026-07-28T18:52:31Z</dcterms:modified>
</cp:coreProperties>
</file>