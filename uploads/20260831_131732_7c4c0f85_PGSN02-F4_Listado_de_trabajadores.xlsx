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Sistema de Gestion\1 SG Documentos\PG-SN-02 Gestión de las personas\"/>
    </mc:Choice>
  </mc:AlternateContent>
  <xr:revisionPtr revIDLastSave="0" documentId="13_ncr:1_{3BE9AEB6-750F-4B38-8AA8-066796A527F5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PERSONAL" sheetId="24" r:id="rId1"/>
    <sheet name="Bajas 2025" sheetId="22" r:id="rId2"/>
    <sheet name="Bajas 2024" sheetId="21" r:id="rId3"/>
    <sheet name="Bajas 2023" sheetId="20" r:id="rId4"/>
    <sheet name="Bajas 2022" sheetId="17" r:id="rId5"/>
    <sheet name="Bajas 2021" sheetId="16" state="hidden" r:id="rId6"/>
    <sheet name="Bajas 2020" sheetId="14" state="hidden" r:id="rId7"/>
    <sheet name="Bajas 2019" sheetId="13" state="hidden" r:id="rId8"/>
    <sheet name="Bajas 2018" sheetId="10" state="hidden" r:id="rId9"/>
    <sheet name="Bajas 2017" sheetId="9" state="hidden" r:id="rId10"/>
    <sheet name="Bajas 2016" sheetId="2" state="hidden" r:id="rId11"/>
    <sheet name="Bajas 2015" sheetId="3" state="hidden" r:id="rId12"/>
    <sheet name="Bajas 2014" sheetId="4" state="hidden" r:id="rId13"/>
    <sheet name="Imp Gcias 2016" sheetId="8" state="hidden" r:id="rId14"/>
    <sheet name="Personal Particular" sheetId="19" r:id="rId15"/>
    <sheet name="DATOS" sheetId="23" r:id="rId16"/>
  </sheets>
  <definedNames>
    <definedName name="_xlnm.Print_Area" localSheetId="12">'Bajas 2014'!$A$2:$C$2</definedName>
    <definedName name="_xlnm.Print_Area" localSheetId="11">'Bajas 2015'!$A$2:$C$2</definedName>
    <definedName name="_xlnm.Print_Area" localSheetId="10">'Bajas 2016'!#REF!</definedName>
    <definedName name="_xlnm.Print_Area" localSheetId="9">'Bajas 2017'!#REF!</definedName>
    <definedName name="_xlnm.Print_Area" localSheetId="8">'Bajas 2018'!#REF!</definedName>
    <definedName name="_xlnm.Print_Area" localSheetId="7">'Bajas 2019'!#REF!</definedName>
    <definedName name="_xlnm.Print_Area" localSheetId="13">'Imp Gcias 2016'!#REF!</definedName>
    <definedName name="Z_94CDC186_10C0_4483_96D9_E39804360A89_.wvu.PrintArea" localSheetId="12" hidden="1">'Bajas 2014'!$A$2:$C$2</definedName>
    <definedName name="Z_94CDC186_10C0_4483_96D9_E39804360A89_.wvu.PrintArea" localSheetId="11" hidden="1">'Bajas 2015'!$A$2:$C$2</definedName>
  </definedNames>
  <calcPr calcId="191029"/>
  <customWorkbookViews>
    <customWorkbookView name="M Laura Bazzara - Vista personalizada" guid="{94CDC186-10C0-4483-96D9-E39804360A89}" autoUpdate="1" mergeInterval="15" personalView="1" maximized="1" windowWidth="1596" windowHeight="675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9" i="24" l="1"/>
  <c r="AX11" i="24"/>
  <c r="AX12" i="24"/>
  <c r="AX13" i="24"/>
  <c r="AX14" i="24"/>
  <c r="AX15" i="24"/>
  <c r="AX16" i="24"/>
  <c r="AX17" i="24"/>
  <c r="AX18" i="24"/>
  <c r="AX19" i="24"/>
  <c r="AX20" i="24"/>
  <c r="AX21" i="24"/>
  <c r="AX22" i="24"/>
  <c r="AX23" i="24"/>
  <c r="AX24" i="24"/>
  <c r="AX25" i="24"/>
  <c r="AX26" i="24"/>
  <c r="AX28" i="24"/>
  <c r="AX29" i="24"/>
  <c r="AX30" i="24"/>
  <c r="AX31" i="24"/>
  <c r="AX32" i="24"/>
  <c r="AX33" i="24"/>
  <c r="AX34" i="24"/>
  <c r="AX35" i="24"/>
  <c r="AX36" i="24"/>
  <c r="AX37" i="24"/>
  <c r="AX39" i="24"/>
  <c r="AX42" i="24"/>
  <c r="AX43" i="24"/>
  <c r="AX53" i="24"/>
  <c r="AX8" i="24"/>
  <c r="H5" i="24"/>
  <c r="Z52" i="24" s="1"/>
  <c r="I49" i="24" l="1"/>
  <c r="I33" i="24"/>
  <c r="I17" i="24"/>
  <c r="I48" i="24"/>
  <c r="I32" i="24"/>
  <c r="I16" i="24"/>
  <c r="I47" i="24"/>
  <c r="I54" i="24"/>
  <c r="I46" i="24"/>
  <c r="I38" i="24"/>
  <c r="I30" i="24"/>
  <c r="I22" i="24"/>
  <c r="I14" i="24"/>
  <c r="I41" i="24"/>
  <c r="I25" i="24"/>
  <c r="I40" i="24"/>
  <c r="I24" i="24"/>
  <c r="I31" i="24"/>
  <c r="I23" i="24"/>
  <c r="I45" i="24"/>
  <c r="I37" i="24"/>
  <c r="I29" i="24"/>
  <c r="I21" i="24"/>
  <c r="I13" i="24"/>
  <c r="I52" i="24"/>
  <c r="I44" i="24"/>
  <c r="I36" i="24"/>
  <c r="I28" i="24"/>
  <c r="I20" i="24"/>
  <c r="I12" i="24"/>
  <c r="I11" i="24"/>
  <c r="I39" i="24"/>
  <c r="I15" i="24"/>
  <c r="I53" i="24"/>
  <c r="I51" i="24"/>
  <c r="I43" i="24"/>
  <c r="I35" i="24"/>
  <c r="I27" i="24"/>
  <c r="I19" i="24"/>
  <c r="I50" i="24"/>
  <c r="I42" i="24"/>
  <c r="I34" i="24"/>
  <c r="I26" i="24"/>
  <c r="I18" i="24"/>
  <c r="I10" i="24"/>
  <c r="I9" i="24"/>
  <c r="I8" i="24"/>
  <c r="AB8" i="24"/>
  <c r="AA19" i="24"/>
  <c r="Z23" i="24"/>
  <c r="AA35" i="24"/>
  <c r="Z46" i="24"/>
  <c r="AB16" i="24"/>
  <c r="AB35" i="24"/>
  <c r="AA46" i="24"/>
  <c r="AB20" i="24"/>
  <c r="AA27" i="24"/>
  <c r="AB31" i="24"/>
  <c r="AA41" i="24"/>
  <c r="Z48" i="24"/>
  <c r="Z41" i="24"/>
  <c r="AB24" i="24"/>
  <c r="AA48" i="24"/>
  <c r="AB12" i="24"/>
  <c r="Z27" i="24"/>
  <c r="Y10" i="24"/>
  <c r="Y14" i="24"/>
  <c r="Z50" i="24"/>
  <c r="AA23" i="24"/>
  <c r="Z11" i="24"/>
  <c r="Y18" i="24"/>
  <c r="AA50" i="24"/>
  <c r="AA11" i="24"/>
  <c r="Z15" i="24"/>
  <c r="Y22" i="24"/>
  <c r="Y30" i="24"/>
  <c r="Z34" i="24"/>
  <c r="Z38" i="24"/>
  <c r="Z44" i="24"/>
  <c r="AA52" i="24"/>
  <c r="AA31" i="24"/>
  <c r="AA8" i="24"/>
  <c r="AA15" i="24"/>
  <c r="Z19" i="24"/>
  <c r="Y26" i="24"/>
  <c r="Z30" i="24"/>
  <c r="AB39" i="24"/>
  <c r="AA44" i="24"/>
  <c r="Z14" i="24"/>
  <c r="AB19" i="24"/>
  <c r="Z22" i="24"/>
  <c r="AA34" i="24"/>
  <c r="AB44" i="24"/>
  <c r="AB48" i="24"/>
  <c r="AB52" i="24"/>
  <c r="AA10" i="24"/>
  <c r="Z13" i="24"/>
  <c r="AB18" i="24"/>
  <c r="Z21" i="24"/>
  <c r="Z25" i="24"/>
  <c r="AA37" i="24"/>
  <c r="AA43" i="24"/>
  <c r="Z49" i="24"/>
  <c r="Z9" i="24"/>
  <c r="AB10" i="24"/>
  <c r="Y12" i="24"/>
  <c r="AA13" i="24"/>
  <c r="Y16" i="24"/>
  <c r="AA17" i="24"/>
  <c r="Y20" i="24"/>
  <c r="AA21" i="24"/>
  <c r="Y24" i="24"/>
  <c r="AA25" i="24"/>
  <c r="Z28" i="24"/>
  <c r="AB29" i="24"/>
  <c r="Z32" i="24"/>
  <c r="Z36" i="24"/>
  <c r="AB37" i="24"/>
  <c r="AA40" i="24"/>
  <c r="Z42" i="24"/>
  <c r="AB43" i="24"/>
  <c r="AA45" i="24"/>
  <c r="AA47" i="24"/>
  <c r="AA49" i="24"/>
  <c r="AA51" i="24"/>
  <c r="AB11" i="24"/>
  <c r="AB15" i="24"/>
  <c r="Z18" i="24"/>
  <c r="AB23" i="24"/>
  <c r="Z26" i="24"/>
  <c r="AB27" i="24"/>
  <c r="AA30" i="24"/>
  <c r="AA38" i="24"/>
  <c r="AB41" i="24"/>
  <c r="AB46" i="24"/>
  <c r="AB50" i="24"/>
  <c r="Z10" i="24"/>
  <c r="Y13" i="24"/>
  <c r="AA14" i="24"/>
  <c r="Y17" i="24"/>
  <c r="AA18" i="24"/>
  <c r="Y21" i="24"/>
  <c r="AA22" i="24"/>
  <c r="Y25" i="24"/>
  <c r="AA26" i="24"/>
  <c r="Z29" i="24"/>
  <c r="AB30" i="24"/>
  <c r="AB34" i="24"/>
  <c r="Z37" i="24"/>
  <c r="AB38" i="24"/>
  <c r="Z43" i="24"/>
  <c r="Y9" i="24"/>
  <c r="AB14" i="24"/>
  <c r="Z17" i="24"/>
  <c r="AB22" i="24"/>
  <c r="AB26" i="24"/>
  <c r="AA29" i="24"/>
  <c r="Z40" i="24"/>
  <c r="Z45" i="24"/>
  <c r="Z51" i="24"/>
  <c r="Y8" i="24"/>
  <c r="AA9" i="24"/>
  <c r="Z12" i="24"/>
  <c r="AB13" i="24"/>
  <c r="Z16" i="24"/>
  <c r="AB17" i="24"/>
  <c r="Z20" i="24"/>
  <c r="AB21" i="24"/>
  <c r="Z24" i="24"/>
  <c r="AB25" i="24"/>
  <c r="AA28" i="24"/>
  <c r="AA32" i="24"/>
  <c r="AA36" i="24"/>
  <c r="Z39" i="24"/>
  <c r="AB40" i="24"/>
  <c r="AA42" i="24"/>
  <c r="AB45" i="24"/>
  <c r="AB47" i="24"/>
  <c r="AB49" i="24"/>
  <c r="AB51" i="24"/>
  <c r="Z47" i="24"/>
  <c r="Z8" i="24"/>
  <c r="AB9" i="24"/>
  <c r="Y11" i="24"/>
  <c r="AA12" i="24"/>
  <c r="Y15" i="24"/>
  <c r="AA16" i="24"/>
  <c r="Y19" i="24"/>
  <c r="AA20" i="24"/>
  <c r="Y23" i="24"/>
  <c r="AA24" i="24"/>
  <c r="Y27" i="24"/>
  <c r="AB28" i="24"/>
  <c r="Z31" i="24"/>
  <c r="AB32" i="24"/>
  <c r="Z35" i="24"/>
  <c r="AB36" i="24"/>
  <c r="AA39" i="24"/>
  <c r="AB42" i="24"/>
  <c r="AT14" i="22" l="1"/>
  <c r="AT12" i="21" l="1"/>
  <c r="AS4" i="22" l="1"/>
  <c r="AP6" i="21" l="1"/>
  <c r="AP5" i="21" l="1"/>
  <c r="AO3" i="21" l="1"/>
  <c r="AO24" i="20" l="1"/>
  <c r="AN16" i="20" l="1"/>
  <c r="AN15" i="20" l="1"/>
  <c r="AN14" i="20" l="1"/>
  <c r="AL13" i="20" l="1"/>
  <c r="AL12" i="20"/>
  <c r="AL34" i="17" l="1"/>
  <c r="AK32" i="17" l="1"/>
  <c r="AK31" i="17"/>
  <c r="AK26" i="17"/>
  <c r="AK24" i="17"/>
  <c r="AK22" i="17"/>
  <c r="AK16" i="17"/>
  <c r="AK15" i="17"/>
  <c r="AK12" i="17"/>
  <c r="AK11" i="17"/>
  <c r="AL26" i="16"/>
  <c r="AL25" i="16"/>
  <c r="AK7" i="17"/>
  <c r="AL23" i="16"/>
  <c r="AL22" i="16"/>
  <c r="AL21" i="16"/>
  <c r="AL20" i="16"/>
  <c r="AL19" i="16"/>
  <c r="AL18" i="16"/>
  <c r="AL17" i="16"/>
  <c r="AL16" i="16"/>
  <c r="AL14" i="16"/>
  <c r="AJ9" i="16"/>
  <c r="AJ8" i="16"/>
  <c r="AJ7" i="16"/>
  <c r="AJ6" i="16"/>
  <c r="AJ5" i="16"/>
  <c r="AL18" i="14"/>
  <c r="AL16" i="14"/>
  <c r="AL17" i="14"/>
  <c r="AL15" i="14"/>
  <c r="AI10" i="14"/>
  <c r="AI11" i="14"/>
  <c r="AI7" i="14"/>
  <c r="AI9" i="14"/>
  <c r="AI5" i="14"/>
  <c r="AI4" i="14"/>
  <c r="AJ20" i="13"/>
  <c r="V20" i="13"/>
  <c r="U20" i="13"/>
  <c r="T20" i="13"/>
  <c r="AJ19" i="13"/>
  <c r="V19" i="13"/>
  <c r="U19" i="13"/>
  <c r="T19" i="13"/>
  <c r="S19" i="13"/>
  <c r="AJ18" i="13"/>
  <c r="AJ16" i="13"/>
  <c r="AJ15" i="13"/>
  <c r="AJ13" i="13"/>
  <c r="AJ12" i="13"/>
  <c r="AJ11" i="13"/>
  <c r="AJ8" i="13"/>
  <c r="AJ9" i="13"/>
  <c r="AJ7" i="13"/>
  <c r="AJ6" i="13"/>
  <c r="AJ4" i="13"/>
  <c r="AJ17" i="10"/>
  <c r="AJ16" i="10"/>
  <c r="AJ13" i="10"/>
  <c r="AJ12" i="10"/>
  <c r="AJ11" i="10"/>
  <c r="AJ10" i="10"/>
  <c r="AJ9" i="10"/>
  <c r="AJ6" i="10"/>
  <c r="AK5" i="10"/>
  <c r="AL4" i="10"/>
  <c r="V12" i="4"/>
  <c r="U12" i="4"/>
  <c r="T12" i="4"/>
  <c r="V11" i="4"/>
  <c r="U11" i="4"/>
  <c r="T11" i="4"/>
  <c r="V10" i="4"/>
  <c r="U10" i="4"/>
  <c r="T10" i="4"/>
  <c r="V9" i="4"/>
  <c r="U9" i="4"/>
  <c r="T9" i="4"/>
  <c r="V8" i="4"/>
  <c r="U8" i="4"/>
  <c r="T8" i="4"/>
  <c r="V7" i="4"/>
  <c r="U7" i="4"/>
  <c r="T7" i="4"/>
  <c r="V6" i="4"/>
  <c r="U6" i="4"/>
  <c r="T6" i="4"/>
  <c r="V5" i="4"/>
  <c r="U5" i="4"/>
  <c r="T5" i="4"/>
  <c r="R6" i="2"/>
  <c r="R7" i="2"/>
  <c r="R8" i="2"/>
  <c r="R10" i="2"/>
  <c r="R9" i="2"/>
  <c r="U10" i="2"/>
  <c r="V10" i="2"/>
  <c r="W10" i="2"/>
  <c r="T9" i="3"/>
  <c r="U9" i="3"/>
  <c r="V9" i="3"/>
  <c r="T10" i="3"/>
  <c r="U10" i="3"/>
  <c r="V10" i="3"/>
  <c r="T11" i="3"/>
  <c r="U11" i="3"/>
  <c r="V11" i="3"/>
  <c r="T12" i="3"/>
  <c r="U12" i="3"/>
  <c r="V12" i="3"/>
  <c r="T13" i="3"/>
  <c r="U13" i="3"/>
  <c r="V13" i="3"/>
  <c r="T14" i="3"/>
  <c r="U14" i="3"/>
  <c r="V14" i="3"/>
  <c r="T15" i="3"/>
  <c r="U15" i="3"/>
  <c r="V15" i="3"/>
  <c r="T16" i="3"/>
  <c r="U16" i="3"/>
  <c r="V16" i="3"/>
  <c r="T17" i="3"/>
  <c r="U17" i="3"/>
  <c r="V17" i="3"/>
  <c r="T18" i="3"/>
  <c r="U18" i="3"/>
  <c r="V18" i="3"/>
  <c r="T19" i="3"/>
  <c r="U19" i="3"/>
  <c r="V19" i="3"/>
  <c r="T20" i="3"/>
  <c r="U20" i="3"/>
  <c r="V20" i="3"/>
  <c r="T21" i="3"/>
  <c r="U21" i="3"/>
  <c r="V21" i="3"/>
  <c r="T3" i="3"/>
  <c r="U3" i="3"/>
  <c r="V3" i="3"/>
  <c r="T4" i="3"/>
  <c r="U4" i="3"/>
  <c r="V4" i="3"/>
  <c r="T5" i="3"/>
  <c r="U5" i="3"/>
  <c r="V5" i="3"/>
  <c r="T6" i="3"/>
  <c r="U6" i="3"/>
  <c r="V6" i="3"/>
  <c r="T7" i="3"/>
  <c r="U7" i="3"/>
  <c r="V7" i="3"/>
  <c r="V8" i="3"/>
  <c r="U8" i="3"/>
  <c r="T8" i="3"/>
  <c r="U9" i="2"/>
  <c r="V9" i="2"/>
  <c r="W9" i="2"/>
  <c r="U8" i="2"/>
  <c r="U4" i="2"/>
  <c r="W4" i="2"/>
  <c r="W5" i="2"/>
  <c r="W6" i="2"/>
  <c r="W7" i="2"/>
  <c r="W8" i="2"/>
  <c r="U7" i="2"/>
  <c r="U6" i="2"/>
  <c r="U5" i="2"/>
  <c r="V8" i="2"/>
  <c r="R5" i="2"/>
  <c r="R4" i="2"/>
  <c r="V4" i="2"/>
  <c r="V5" i="2"/>
  <c r="V6" i="2"/>
  <c r="V7" i="2"/>
  <c r="Y41" i="24" l="1"/>
  <c r="Y43" i="24"/>
  <c r="Y51" i="24"/>
  <c r="Y49" i="24"/>
  <c r="Y44" i="24"/>
  <c r="Y52" i="24"/>
  <c r="Y46" i="24"/>
  <c r="Y47" i="24"/>
  <c r="Y45" i="24"/>
  <c r="Y53" i="24"/>
  <c r="Y54" i="24"/>
  <c r="Y42" i="24"/>
  <c r="Y50" i="24"/>
  <c r="Y48" i="24"/>
  <c r="AB54" i="24"/>
  <c r="AA54" i="24"/>
  <c r="Z54" i="24"/>
  <c r="AB53" i="24"/>
  <c r="AA53" i="24"/>
  <c r="Y35" i="24"/>
  <c r="Y31" i="24"/>
  <c r="Y36" i="24"/>
  <c r="AA33" i="24"/>
  <c r="Y32" i="24"/>
  <c r="Y28" i="24"/>
  <c r="Y40" i="24"/>
  <c r="Z33" i="24"/>
  <c r="Y37" i="24"/>
  <c r="Y33" i="24"/>
  <c r="Y29" i="24"/>
  <c r="Z53" i="24"/>
  <c r="Y39" i="24"/>
  <c r="AB33" i="24"/>
  <c r="Y38" i="24"/>
  <c r="Y34" i="24"/>
  <c r="X17" i="22"/>
  <c r="V17" i="22"/>
  <c r="W17" i="22"/>
  <c r="H17" i="22"/>
  <c r="X16" i="22"/>
  <c r="H16" i="22"/>
  <c r="W16" i="22"/>
  <c r="V16" i="22"/>
  <c r="V14" i="22"/>
  <c r="X14" i="22"/>
  <c r="W14" i="22"/>
  <c r="U14" i="22"/>
  <c r="H14" i="22"/>
  <c r="X13" i="22"/>
  <c r="W13" i="22"/>
  <c r="H13" i="22"/>
  <c r="V13" i="22"/>
  <c r="U13" i="22"/>
  <c r="X12" i="22"/>
  <c r="V12" i="22"/>
  <c r="U12" i="22"/>
  <c r="H12" i="22"/>
  <c r="W12" i="22"/>
  <c r="X9" i="22"/>
  <c r="W9" i="22"/>
  <c r="V9" i="22"/>
  <c r="H9" i="22"/>
  <c r="X10" i="22"/>
  <c r="V10" i="22"/>
  <c r="W10" i="22"/>
  <c r="U10" i="22"/>
  <c r="H10" i="22"/>
  <c r="X11" i="22"/>
  <c r="H11" i="22"/>
  <c r="W11" i="22"/>
  <c r="V11" i="22"/>
  <c r="U11" i="22"/>
  <c r="X3" i="22"/>
  <c r="W3" i="22"/>
  <c r="V3" i="22"/>
  <c r="H3" i="22"/>
  <c r="X12" i="21"/>
  <c r="W12" i="21"/>
  <c r="V12" i="21"/>
  <c r="H12" i="21"/>
  <c r="X8" i="22"/>
  <c r="W8" i="22"/>
  <c r="H7" i="22"/>
  <c r="X7" i="22"/>
  <c r="V8" i="22"/>
  <c r="H8" i="22"/>
  <c r="W7" i="22"/>
  <c r="V7" i="22"/>
  <c r="X6" i="22"/>
  <c r="W6" i="22"/>
  <c r="V6" i="22"/>
  <c r="H6" i="22"/>
  <c r="X5" i="22"/>
  <c r="W5" i="22"/>
  <c r="V5" i="22"/>
  <c r="U5" i="22"/>
  <c r="H5" i="22"/>
  <c r="U4" i="22"/>
  <c r="X4" i="22"/>
  <c r="W4" i="22"/>
  <c r="V4" i="22"/>
  <c r="H4" i="22"/>
  <c r="X11" i="21"/>
  <c r="W11" i="21"/>
  <c r="V11" i="21"/>
  <c r="H11" i="21"/>
  <c r="X10" i="21"/>
  <c r="W10" i="21"/>
  <c r="H10" i="21"/>
  <c r="V10" i="21"/>
  <c r="W9" i="21"/>
  <c r="V9" i="21"/>
  <c r="H9" i="21"/>
  <c r="X9" i="21"/>
  <c r="W8" i="21"/>
  <c r="H8" i="21"/>
  <c r="V8" i="21"/>
  <c r="X8" i="21"/>
  <c r="W7" i="21"/>
  <c r="V7" i="21"/>
  <c r="U7" i="21"/>
  <c r="H7" i="21"/>
  <c r="X7" i="21"/>
  <c r="H6" i="21"/>
  <c r="X6" i="21"/>
  <c r="W6" i="21"/>
  <c r="V6" i="21"/>
  <c r="U6" i="21"/>
  <c r="V5" i="21"/>
  <c r="X5" i="21"/>
  <c r="H5" i="21"/>
  <c r="W5" i="21"/>
  <c r="U5" i="21"/>
  <c r="W4" i="21"/>
  <c r="H4" i="21"/>
  <c r="V4" i="21"/>
  <c r="U4" i="21"/>
  <c r="X4" i="21"/>
  <c r="H3" i="21"/>
  <c r="X3" i="21"/>
  <c r="W3" i="21"/>
  <c r="V3" i="21"/>
  <c r="U3" i="21"/>
  <c r="X25" i="20"/>
  <c r="W25" i="20"/>
  <c r="V25" i="20"/>
  <c r="H25" i="20"/>
  <c r="H24" i="20"/>
  <c r="W24" i="20"/>
  <c r="X24" i="20"/>
  <c r="U24" i="20"/>
  <c r="V24" i="20"/>
  <c r="X23" i="20"/>
  <c r="V23" i="20"/>
  <c r="U23" i="20"/>
  <c r="H23" i="20"/>
  <c r="W23" i="20"/>
  <c r="H22" i="20"/>
  <c r="X21" i="20"/>
  <c r="W21" i="20"/>
  <c r="V21" i="20"/>
  <c r="U21" i="20"/>
  <c r="X20" i="20"/>
  <c r="W20" i="20"/>
  <c r="V20" i="20"/>
  <c r="U20" i="20"/>
  <c r="H20" i="20"/>
  <c r="X18" i="20"/>
  <c r="V18" i="20"/>
  <c r="W18" i="20"/>
  <c r="U18" i="20"/>
  <c r="H18" i="20"/>
  <c r="X19" i="20"/>
  <c r="U19" i="20"/>
  <c r="W19" i="20"/>
  <c r="V19" i="20"/>
  <c r="H19" i="20"/>
  <c r="X17" i="20"/>
  <c r="W17" i="20"/>
  <c r="V17" i="20"/>
  <c r="H17" i="20"/>
  <c r="U17" i="20"/>
  <c r="X16" i="20"/>
  <c r="W16" i="20"/>
  <c r="U16" i="20"/>
  <c r="V16" i="20"/>
  <c r="H16" i="20"/>
  <c r="H15" i="20"/>
  <c r="U15" i="20"/>
  <c r="V15" i="20"/>
  <c r="W15" i="20"/>
  <c r="X15" i="20"/>
  <c r="V14" i="20"/>
  <c r="X14" i="20"/>
  <c r="W14" i="20"/>
  <c r="U14" i="20"/>
  <c r="H14" i="20"/>
  <c r="X13" i="20"/>
  <c r="U13" i="20"/>
  <c r="W13" i="20"/>
  <c r="V13" i="20"/>
  <c r="H13" i="20"/>
  <c r="H12" i="20"/>
  <c r="X12" i="20"/>
  <c r="W12" i="20"/>
  <c r="V12" i="20"/>
  <c r="U12" i="20"/>
  <c r="V11" i="20"/>
  <c r="U11" i="20"/>
  <c r="H11" i="20"/>
  <c r="X11" i="20"/>
  <c r="W11" i="20"/>
  <c r="X10" i="20"/>
  <c r="W10" i="20"/>
  <c r="V10" i="20"/>
  <c r="H10" i="20"/>
  <c r="X9" i="20"/>
  <c r="U9" i="20"/>
  <c r="W9" i="20"/>
  <c r="V9" i="20"/>
  <c r="H9" i="20"/>
  <c r="X8" i="20"/>
  <c r="W8" i="20"/>
  <c r="V8" i="20"/>
  <c r="U8" i="20"/>
  <c r="H8" i="20"/>
  <c r="X7" i="20"/>
  <c r="W7" i="20"/>
  <c r="V7" i="20"/>
  <c r="H7" i="20"/>
  <c r="X6" i="20"/>
  <c r="W6" i="20"/>
  <c r="U6" i="20"/>
  <c r="H6" i="20"/>
  <c r="V6" i="20"/>
  <c r="X5" i="20"/>
  <c r="W4" i="20"/>
  <c r="V3" i="20"/>
  <c r="H3" i="20"/>
  <c r="H4" i="20"/>
  <c r="H5" i="20"/>
  <c r="X4" i="20"/>
  <c r="W3" i="20"/>
  <c r="W5" i="20"/>
  <c r="V4" i="20"/>
  <c r="U3" i="20"/>
  <c r="U4" i="20"/>
  <c r="X3" i="20"/>
  <c r="V5" i="20"/>
  <c r="U5" i="20"/>
  <c r="H34" i="17"/>
  <c r="X34" i="17"/>
  <c r="W34" i="17"/>
  <c r="V34" i="17"/>
  <c r="U34" i="17"/>
  <c r="Q4" i="2"/>
  <c r="S21" i="10"/>
  <c r="W18" i="16"/>
  <c r="W8" i="9"/>
  <c r="V4" i="9"/>
  <c r="G8" i="9"/>
  <c r="U5" i="9"/>
  <c r="V6" i="9"/>
  <c r="W7" i="9"/>
  <c r="U4" i="9"/>
  <c r="T5" i="10"/>
  <c r="T6" i="10"/>
  <c r="T8" i="10"/>
  <c r="S10" i="10"/>
  <c r="T12" i="10"/>
  <c r="W5" i="9"/>
  <c r="U5" i="10"/>
  <c r="U8" i="10"/>
  <c r="U12" i="10"/>
  <c r="U13" i="10"/>
  <c r="U7" i="10"/>
  <c r="V10" i="10"/>
  <c r="U14" i="10"/>
  <c r="R7" i="10"/>
  <c r="T10" i="10"/>
  <c r="S15" i="10"/>
  <c r="T15" i="10"/>
  <c r="U22" i="10"/>
  <c r="V21" i="16"/>
  <c r="W4" i="9"/>
  <c r="G6" i="9"/>
  <c r="S6" i="10"/>
  <c r="U9" i="10"/>
  <c r="V11" i="10"/>
  <c r="S13" i="10"/>
  <c r="U6" i="10"/>
  <c r="U11" i="10"/>
  <c r="S17" i="10"/>
  <c r="G5" i="9"/>
  <c r="W6" i="9"/>
  <c r="T4" i="10"/>
  <c r="V8" i="10"/>
  <c r="V9" i="10"/>
  <c r="Q5" i="2"/>
  <c r="T7" i="9"/>
  <c r="T5" i="9"/>
  <c r="V8" i="9"/>
  <c r="U4" i="10"/>
  <c r="V6" i="10"/>
  <c r="S8" i="10"/>
  <c r="S9" i="10"/>
  <c r="S12" i="10"/>
  <c r="T14" i="10"/>
  <c r="S18" i="10"/>
  <c r="S10" i="13"/>
  <c r="S11" i="13"/>
  <c r="V5" i="13"/>
  <c r="U6" i="13"/>
  <c r="U11" i="14"/>
  <c r="U18" i="10"/>
  <c r="S6" i="13"/>
  <c r="U9" i="13"/>
  <c r="T10" i="14"/>
  <c r="U10" i="13"/>
  <c r="X14" i="14"/>
  <c r="V16" i="10"/>
  <c r="T20" i="10"/>
  <c r="V15" i="13"/>
  <c r="V16" i="14"/>
  <c r="P3" i="16"/>
  <c r="U7" i="16"/>
  <c r="W16" i="16"/>
  <c r="U11" i="13"/>
  <c r="H15" i="14"/>
  <c r="T5" i="16"/>
  <c r="X19" i="16"/>
  <c r="U13" i="13"/>
  <c r="V9" i="16"/>
  <c r="H22" i="16"/>
  <c r="H27" i="16"/>
  <c r="V14" i="13"/>
  <c r="S20" i="13"/>
  <c r="V17" i="14"/>
  <c r="V14" i="16"/>
  <c r="H24" i="16"/>
  <c r="T7" i="17"/>
  <c r="V8" i="17"/>
  <c r="V9" i="17"/>
  <c r="G13" i="17"/>
  <c r="V5" i="16"/>
  <c r="V13" i="16"/>
  <c r="X16" i="16"/>
  <c r="U22" i="16"/>
  <c r="W25" i="16"/>
  <c r="G9" i="17"/>
  <c r="T15" i="17"/>
  <c r="V24" i="17"/>
  <c r="G32" i="17"/>
  <c r="Q7" i="2"/>
  <c r="Q8" i="2"/>
  <c r="Q9" i="2"/>
  <c r="U7" i="9"/>
  <c r="T4" i="9"/>
  <c r="T6" i="9"/>
  <c r="U8" i="9"/>
  <c r="V4" i="10"/>
  <c r="V5" i="10"/>
  <c r="S7" i="10"/>
  <c r="T9" i="10"/>
  <c r="S11" i="10"/>
  <c r="V12" i="10"/>
  <c r="U15" i="10"/>
  <c r="T19" i="10"/>
  <c r="T21" i="10"/>
  <c r="T4" i="13"/>
  <c r="T6" i="13"/>
  <c r="V9" i="13"/>
  <c r="T10" i="13"/>
  <c r="V12" i="13"/>
  <c r="S14" i="13"/>
  <c r="U15" i="13"/>
  <c r="P4" i="14"/>
  <c r="P10" i="14"/>
  <c r="U14" i="14"/>
  <c r="W17" i="14"/>
  <c r="X16" i="14"/>
  <c r="U3" i="16"/>
  <c r="P5" i="16"/>
  <c r="P8" i="16"/>
  <c r="W13" i="16"/>
  <c r="U15" i="16"/>
  <c r="U16" i="16"/>
  <c r="V18" i="16"/>
  <c r="X21" i="16"/>
  <c r="V22" i="16"/>
  <c r="T6" i="17"/>
  <c r="V25" i="16"/>
  <c r="U11" i="17"/>
  <c r="V12" i="17"/>
  <c r="G14" i="17"/>
  <c r="W16" i="17"/>
  <c r="G17" i="17"/>
  <c r="V19" i="17"/>
  <c r="V23" i="17"/>
  <c r="G26" i="17"/>
  <c r="G25" i="17"/>
  <c r="H16" i="14"/>
  <c r="T8" i="16"/>
  <c r="W14" i="16"/>
  <c r="X18" i="16"/>
  <c r="H21" i="16"/>
  <c r="X27" i="16"/>
  <c r="T8" i="17"/>
  <c r="W13" i="17"/>
  <c r="W18" i="17"/>
  <c r="G23" i="17"/>
  <c r="T25" i="17"/>
  <c r="Q6" i="2"/>
  <c r="Q10" i="2"/>
  <c r="V7" i="9"/>
  <c r="V5" i="9"/>
  <c r="U6" i="9"/>
  <c r="T8" i="9"/>
  <c r="S4" i="10"/>
  <c r="S5" i="10"/>
  <c r="T7" i="10"/>
  <c r="U10" i="10"/>
  <c r="T11" i="10"/>
  <c r="T13" i="10"/>
  <c r="U16" i="10"/>
  <c r="V19" i="10"/>
  <c r="V21" i="10"/>
  <c r="U4" i="13"/>
  <c r="S7" i="13"/>
  <c r="V8" i="13"/>
  <c r="T12" i="13"/>
  <c r="U14" i="13"/>
  <c r="V16" i="13"/>
  <c r="P9" i="14"/>
  <c r="V10" i="14"/>
  <c r="V14" i="14"/>
  <c r="X17" i="14"/>
  <c r="H18" i="14"/>
  <c r="P4" i="16"/>
  <c r="V6" i="16"/>
  <c r="V8" i="16"/>
  <c r="H13" i="16"/>
  <c r="H15" i="16"/>
  <c r="U17" i="16"/>
  <c r="W20" i="16"/>
  <c r="V23" i="16"/>
  <c r="G6" i="17"/>
  <c r="V26" i="16"/>
  <c r="G11" i="17"/>
  <c r="W12" i="17"/>
  <c r="V14" i="17"/>
  <c r="U16" i="17"/>
  <c r="U17" i="17"/>
  <c r="W19" i="17"/>
  <c r="W22" i="17"/>
  <c r="V26" i="17"/>
  <c r="V13" i="10"/>
  <c r="V14" i="10"/>
  <c r="T16" i="10"/>
  <c r="V17" i="10"/>
  <c r="S19" i="10"/>
  <c r="V22" i="10"/>
  <c r="T5" i="13"/>
  <c r="V7" i="13"/>
  <c r="S8" i="13"/>
  <c r="U12" i="13"/>
  <c r="S16" i="13"/>
  <c r="U9" i="14"/>
  <c r="U15" i="14"/>
  <c r="W14" i="14"/>
  <c r="H17" i="14"/>
  <c r="X18" i="14"/>
  <c r="T4" i="16"/>
  <c r="T6" i="16"/>
  <c r="P7" i="16"/>
  <c r="X13" i="16"/>
  <c r="V15" i="16"/>
  <c r="W17" i="16"/>
  <c r="V19" i="16"/>
  <c r="V20" i="16"/>
  <c r="U23" i="16"/>
  <c r="W6" i="17"/>
  <c r="W26" i="16"/>
  <c r="W11" i="17"/>
  <c r="T12" i="17"/>
  <c r="V17" i="17"/>
  <c r="W21" i="17"/>
  <c r="V22" i="17"/>
  <c r="W26" i="17"/>
  <c r="U30" i="17"/>
  <c r="S14" i="10"/>
  <c r="V15" i="10"/>
  <c r="S16" i="10"/>
  <c r="T17" i="10"/>
  <c r="T18" i="10"/>
  <c r="S20" i="10"/>
  <c r="T22" i="10"/>
  <c r="U5" i="13"/>
  <c r="U8" i="13"/>
  <c r="T11" i="13"/>
  <c r="T13" i="13"/>
  <c r="U16" i="13"/>
  <c r="P11" i="14"/>
  <c r="W15" i="14"/>
  <c r="U16" i="14"/>
  <c r="W18" i="14"/>
  <c r="V4" i="16"/>
  <c r="T7" i="16"/>
  <c r="U9" i="16"/>
  <c r="H14" i="16"/>
  <c r="V16" i="16"/>
  <c r="H17" i="16"/>
  <c r="H19" i="16"/>
  <c r="H20" i="16"/>
  <c r="V24" i="16"/>
  <c r="V27" i="16"/>
  <c r="G7" i="17"/>
  <c r="U26" i="16"/>
  <c r="T9" i="17"/>
  <c r="U13" i="17"/>
  <c r="V15" i="17"/>
  <c r="U18" i="17"/>
  <c r="T21" i="17"/>
  <c r="U20" i="17"/>
  <c r="G22" i="17"/>
  <c r="U27" i="17"/>
  <c r="U28" i="17"/>
  <c r="V30" i="17"/>
  <c r="W15" i="17"/>
  <c r="T18" i="17"/>
  <c r="W20" i="17"/>
  <c r="U24" i="17"/>
  <c r="W27" i="17"/>
  <c r="W28" i="17"/>
  <c r="W31" i="17"/>
  <c r="H33" i="17"/>
  <c r="U31" i="17"/>
  <c r="W33" i="17"/>
  <c r="G29" i="17"/>
  <c r="T31" i="17"/>
  <c r="X33" i="17"/>
  <c r="V29" i="17"/>
  <c r="G30" i="17"/>
  <c r="V32" i="17"/>
  <c r="U17" i="10"/>
  <c r="V18" i="10"/>
  <c r="U20" i="10"/>
  <c r="U21" i="10"/>
  <c r="S4" i="13"/>
  <c r="V4" i="13"/>
  <c r="T7" i="13"/>
  <c r="T9" i="13"/>
  <c r="T8" i="13"/>
  <c r="V11" i="13"/>
  <c r="S13" i="13"/>
  <c r="T14" i="13"/>
  <c r="S15" i="13"/>
  <c r="T16" i="13"/>
  <c r="T11" i="14"/>
  <c r="U10" i="14"/>
  <c r="X15" i="14"/>
  <c r="U17" i="14"/>
  <c r="W16" i="14"/>
  <c r="U18" i="14"/>
  <c r="V3" i="16"/>
  <c r="U5" i="16"/>
  <c r="P6" i="16"/>
  <c r="U8" i="16"/>
  <c r="P9" i="16"/>
  <c r="U14" i="16"/>
  <c r="W15" i="16"/>
  <c r="H16" i="16"/>
  <c r="X17" i="16"/>
  <c r="U18" i="16"/>
  <c r="U19" i="16"/>
  <c r="X20" i="16"/>
  <c r="U21" i="16"/>
  <c r="W23" i="16"/>
  <c r="W24" i="16"/>
  <c r="U27" i="16"/>
  <c r="V7" i="17"/>
  <c r="H25" i="16"/>
  <c r="H26" i="16"/>
  <c r="G8" i="17"/>
  <c r="T11" i="17"/>
  <c r="W9" i="17"/>
  <c r="T14" i="17"/>
  <c r="V16" i="17"/>
  <c r="W17" i="17"/>
  <c r="T19" i="17"/>
  <c r="V21" i="17"/>
  <c r="G20" i="17"/>
  <c r="T23" i="17"/>
  <c r="U22" i="17"/>
  <c r="W24" i="17"/>
  <c r="T26" i="17"/>
  <c r="U25" i="17"/>
  <c r="T28" i="17"/>
  <c r="U29" i="17"/>
  <c r="W30" i="17"/>
  <c r="T32" i="17"/>
  <c r="W22" i="16"/>
  <c r="X23" i="16"/>
  <c r="U24" i="16"/>
  <c r="V6" i="17"/>
  <c r="U7" i="17"/>
  <c r="X25" i="16"/>
  <c r="X26" i="16"/>
  <c r="W8" i="17"/>
  <c r="G10" i="17"/>
  <c r="U12" i="17"/>
  <c r="T13" i="17"/>
  <c r="U14" i="17"/>
  <c r="U15" i="17"/>
  <c r="G16" i="17"/>
  <c r="G18" i="17"/>
  <c r="U19" i="17"/>
  <c r="U21" i="17"/>
  <c r="T20" i="17"/>
  <c r="U23" i="17"/>
  <c r="T22" i="17"/>
  <c r="T24" i="17"/>
  <c r="T27" i="17"/>
  <c r="W25" i="17"/>
  <c r="G28" i="17"/>
  <c r="T29" i="17"/>
  <c r="G31" i="17"/>
  <c r="U32" i="17"/>
  <c r="U19" i="10"/>
  <c r="V20" i="10"/>
  <c r="S22" i="10"/>
  <c r="S5" i="13"/>
  <c r="V6" i="13"/>
  <c r="U7" i="13"/>
  <c r="S9" i="13"/>
  <c r="V10" i="13"/>
  <c r="S12" i="13"/>
  <c r="V13" i="13"/>
  <c r="T15" i="13"/>
  <c r="V9" i="14"/>
  <c r="V11" i="14"/>
  <c r="V15" i="14"/>
  <c r="H14" i="14"/>
  <c r="V18" i="14"/>
  <c r="T3" i="16"/>
  <c r="U4" i="16"/>
  <c r="U6" i="16"/>
  <c r="V7" i="16"/>
  <c r="T9" i="16"/>
  <c r="U13" i="16"/>
  <c r="X14" i="16"/>
  <c r="X15" i="16"/>
  <c r="V17" i="16"/>
  <c r="H18" i="16"/>
  <c r="W19" i="16"/>
  <c r="U20" i="16"/>
  <c r="W21" i="16"/>
  <c r="X22" i="16"/>
  <c r="H23" i="16"/>
  <c r="X24" i="16"/>
  <c r="W27" i="16"/>
  <c r="U6" i="17"/>
  <c r="W7" i="17"/>
  <c r="U25" i="16"/>
  <c r="U8" i="17"/>
  <c r="V11" i="17"/>
  <c r="U9" i="17"/>
  <c r="G12" i="17"/>
  <c r="V13" i="17"/>
  <c r="W14" i="17"/>
  <c r="G15" i="17"/>
  <c r="T16" i="17"/>
  <c r="T17" i="17"/>
  <c r="V18" i="17"/>
  <c r="G19" i="17"/>
  <c r="G21" i="17"/>
  <c r="V20" i="17"/>
  <c r="W23" i="17"/>
  <c r="G24" i="17"/>
  <c r="U26" i="17"/>
  <c r="V27" i="17"/>
  <c r="V25" i="17"/>
  <c r="V28" i="17"/>
  <c r="W29" i="17"/>
  <c r="T30" i="17"/>
  <c r="V31" i="17"/>
  <c r="W32" i="17"/>
  <c r="V33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Noelia Cuñelao</author>
  </authors>
  <commentList>
    <comment ref="H53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Noelia Cuñelao:</t>
        </r>
        <r>
          <rPr>
            <sz val="9"/>
            <color indexed="81"/>
            <rFont val="Tahoma"/>
            <charset val="1"/>
          </rPr>
          <t xml:space="preserve">
1° ingreso 19/06/2024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.</author>
    <author>M Laura Bazzara</author>
  </authors>
  <commentList>
    <comment ref="A7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a partir del 18/01/2017 se hace reserva de puesto de trabajo por un año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8" authorId="1" shapeId="0" xr:uid="{00000000-0006-0000-0900-000002000000}">
      <text>
        <r>
          <rPr>
            <sz val="9"/>
            <color indexed="81"/>
            <rFont val="Tahoma"/>
            <family val="2"/>
          </rPr>
          <t>Celular esposa 2994153788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 Laura Bazzara</author>
  </authors>
  <commentList>
    <comment ref="O7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2994191197 Esposa
0299-4914355 Fijo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9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retirada 30/08/2016</t>
        </r>
      </text>
    </comment>
    <comment ref="O10" authorId="0" shapeId="0" xr:uid="{00000000-0006-0000-0A00-000003000000}">
      <text>
        <r>
          <rPr>
            <sz val="9"/>
            <color indexed="81"/>
            <rFont val="Tahoma"/>
            <family val="2"/>
          </rPr>
          <t>Celular de la mujer 299-6280223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.</author>
  </authors>
  <commentList>
    <comment ref="C3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NO SE PUEDE DAR ALTA AFIP POR SER JUBILADA ISSN NQN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SE LIQUIDA SUELDO A TRAVES DE LA CLAVE FISCAL DE SIGI
EMPLEADOR SIGI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<sst xmlns="http://schemas.openxmlformats.org/spreadsheetml/2006/main" count="3632" uniqueCount="1029">
  <si>
    <t>CUIL</t>
  </si>
  <si>
    <t>Localidad</t>
  </si>
  <si>
    <t>CIPOLLETTI</t>
  </si>
  <si>
    <t>RIO NEGRO</t>
  </si>
  <si>
    <t>PLOTTIER</t>
  </si>
  <si>
    <t>NEUQUEN</t>
  </si>
  <si>
    <t>Apellido y Nombre</t>
  </si>
  <si>
    <t>FERNÁNDEZ, YANINA NATALIA</t>
  </si>
  <si>
    <t>CP</t>
  </si>
  <si>
    <t>Depósito</t>
  </si>
  <si>
    <t>Leg</t>
  </si>
  <si>
    <t>-</t>
  </si>
  <si>
    <t>Petroleros Jerárquicos</t>
  </si>
  <si>
    <t>Gerente General</t>
  </si>
  <si>
    <t>Casa 123 B° 11 de Octubre</t>
  </si>
  <si>
    <t>SANTANDER</t>
  </si>
  <si>
    <t>PIZARRO, TRISTAN SIGIFREDO</t>
  </si>
  <si>
    <t>ALMARZA, BARBARA SELENE</t>
  </si>
  <si>
    <t>Técnica en Seg. E Higiene</t>
  </si>
  <si>
    <t>RDLS</t>
  </si>
  <si>
    <t>ANDRADA, PABLO GUILLERMO</t>
  </si>
  <si>
    <t>ALVEAL, SERGIO ANDRES</t>
  </si>
  <si>
    <t>Sindicato</t>
  </si>
  <si>
    <t>Mutual</t>
  </si>
  <si>
    <t>UTHGRA</t>
  </si>
  <si>
    <t>Petroleros Privados</t>
  </si>
  <si>
    <t>I</t>
  </si>
  <si>
    <t>Boerr B° Belgrano</t>
  </si>
  <si>
    <t>SALASSA, CARLOS FERNANDO</t>
  </si>
  <si>
    <t>Ingeniero Electricista</t>
  </si>
  <si>
    <t>RAMIDAN, RICARDO OMAR</t>
  </si>
  <si>
    <t>TRANSFERENCIA</t>
  </si>
  <si>
    <t>Nonthue 460 - Secc Chacras -</t>
  </si>
  <si>
    <t>299 4576619</t>
  </si>
  <si>
    <t>SEPULVEDA BUSTOS, JAIME OSVALDO</t>
  </si>
  <si>
    <t>Jefe de Operaciones</t>
  </si>
  <si>
    <t>La Paz 65</t>
  </si>
  <si>
    <t>CATRIEL</t>
  </si>
  <si>
    <t>BALASTEGUI, PABLO DANIEL</t>
  </si>
  <si>
    <t>Roca 732</t>
  </si>
  <si>
    <t>299 155284153</t>
  </si>
  <si>
    <t>PARADA SAN MARTIN, FEDERICO HORACIO</t>
  </si>
  <si>
    <t>II</t>
  </si>
  <si>
    <t>Tareas Generales</t>
  </si>
  <si>
    <t>JJ Lastra y Gob. Anaya 9 B° La Sirena</t>
  </si>
  <si>
    <t>299 5224748</t>
  </si>
  <si>
    <t>RIOL, MARCOS LEONARDO</t>
  </si>
  <si>
    <t>Gral. Mansilla 124</t>
  </si>
  <si>
    <t>ESPECHE MIRANDA, DIEGO SEBASTIAN</t>
  </si>
  <si>
    <t>GERVASONI, MARCOS EMANUEL</t>
  </si>
  <si>
    <t>Ingeniero Mecánico</t>
  </si>
  <si>
    <t>0351 156347861</t>
  </si>
  <si>
    <t>FUNES, CESAR FRANCISCO</t>
  </si>
  <si>
    <t>Ingeniero Electrónico</t>
  </si>
  <si>
    <t>Maronesse II Etapa Mza 23 Casa 37</t>
  </si>
  <si>
    <t>299 154231725</t>
  </si>
  <si>
    <t>BILURON, DARÍO SEBASTIAN</t>
  </si>
  <si>
    <t>LA ROSA, LUCAS ARIEL</t>
  </si>
  <si>
    <t>Buenos Aires 115 S/C</t>
  </si>
  <si>
    <t>299 156255895</t>
  </si>
  <si>
    <t>B° Parque Ind. Calle 11 Dpto L1 1° B</t>
  </si>
  <si>
    <t>299 154237063</t>
  </si>
  <si>
    <t>CAÑETE, ALEJANDRO NICOLAS</t>
  </si>
  <si>
    <t>ESCOBAR VIGNAROLI, MARCELO DAMIÁN</t>
  </si>
  <si>
    <t>Mza. 68 Dpx 36, Rosario 1420 B° San Lorenzo</t>
  </si>
  <si>
    <t>299 155417418</t>
  </si>
  <si>
    <t>SANCHEZ, BRUNO DAMIAN</t>
  </si>
  <si>
    <t>Jardinero</t>
  </si>
  <si>
    <t>PIÑONES FUENTES, JOSE DEL CARMEN</t>
  </si>
  <si>
    <t>IV</t>
  </si>
  <si>
    <t>Operador Well Testing</t>
  </si>
  <si>
    <t>PIÑONES FUENTES, ROBERTO WILLIAM</t>
  </si>
  <si>
    <t>ROJAS, DARÍO FABIAN</t>
  </si>
  <si>
    <t>Bulgaria 866</t>
  </si>
  <si>
    <t>PARRA FIGUEROA, MARCELA ELIZABETH</t>
  </si>
  <si>
    <t>Administración</t>
  </si>
  <si>
    <t>OLLER NESTOR DAMIAN</t>
  </si>
  <si>
    <t>JARA, MARCOS DAMIÁN</t>
  </si>
  <si>
    <t>San Martin 2260</t>
  </si>
  <si>
    <t>294 154241994</t>
  </si>
  <si>
    <t>FERNÁNDEZ, JORGE PABLO</t>
  </si>
  <si>
    <t>V</t>
  </si>
  <si>
    <t>Mza. 56, Casa 4, B° San Lorenzo Norte</t>
  </si>
  <si>
    <t>CHITADINO, ELVIRA LUCIA</t>
  </si>
  <si>
    <t>389/04</t>
  </si>
  <si>
    <t>BASOALTO, MARIA ELENA</t>
  </si>
  <si>
    <t>Jefe Administrativo</t>
  </si>
  <si>
    <t>MARENGO, MATÍAS GASTÓN</t>
  </si>
  <si>
    <t>Rodolfo Walsh 1868</t>
  </si>
  <si>
    <t>LUNA MATIAS JOSE</t>
  </si>
  <si>
    <t>Libertadores 3002 B° Los Alamos</t>
  </si>
  <si>
    <t>299 155657467  299 154715220</t>
  </si>
  <si>
    <t>PARADA, FRANCO DAMIÁN</t>
  </si>
  <si>
    <t>BAJA AFIP</t>
  </si>
  <si>
    <t>Dr. Garraham 881 Dpto 1 B</t>
  </si>
  <si>
    <t>III</t>
  </si>
  <si>
    <t>Jerarquicos</t>
  </si>
  <si>
    <t>Gastronomicos</t>
  </si>
  <si>
    <t>Petrol Privados</t>
  </si>
  <si>
    <t>N°</t>
  </si>
  <si>
    <t>RENUNCIA</t>
  </si>
  <si>
    <t>DESPIDO EN PERÍODO DE PRUEBA</t>
  </si>
  <si>
    <t>SI</t>
  </si>
  <si>
    <t>Motivo de la Baja</t>
  </si>
  <si>
    <t>Liquidación Final Lista</t>
  </si>
  <si>
    <t>GONZALEZ, VICTOR RAUL</t>
  </si>
  <si>
    <t>Capataz</t>
  </si>
  <si>
    <t>Jefe de Cocina</t>
  </si>
  <si>
    <t>OLLER,  NESTOR DAMIAN</t>
  </si>
  <si>
    <t>Colibri 4295</t>
  </si>
  <si>
    <t>MORENO, CRISTIAN MARTIN</t>
  </si>
  <si>
    <t>Villegas 351</t>
  </si>
  <si>
    <t>ALTA AFIP</t>
  </si>
  <si>
    <t>Fava 255</t>
  </si>
  <si>
    <t>CHALDU, CRISTOPHER AXEL</t>
  </si>
  <si>
    <t>SEPULVEDA, PABLO RUBEN DARIO</t>
  </si>
  <si>
    <t>Las Lajas 47</t>
  </si>
  <si>
    <t>VIII</t>
  </si>
  <si>
    <t>Oficial de Mantenimiento</t>
  </si>
  <si>
    <t>Operador Slick Line</t>
  </si>
  <si>
    <t>IX</t>
  </si>
  <si>
    <t>Mallin Hue Mza F Casa 2</t>
  </si>
  <si>
    <t>IZA GONZALEZ, MAURICIO GERMAN</t>
  </si>
  <si>
    <t>ÑANCU PABLO ADRIAN</t>
  </si>
  <si>
    <t>Chaneton 985</t>
  </si>
  <si>
    <t>OLIE FRANCO DAMIAN</t>
  </si>
  <si>
    <t>VI</t>
  </si>
  <si>
    <t>Chofer - Auxiliar Slick Line</t>
  </si>
  <si>
    <t>GALLO, JOAQUIN SEBASTIAN</t>
  </si>
  <si>
    <t>AVENIDA DEL TRABAJADOR 4219</t>
  </si>
  <si>
    <t>DELANOE, DIDIER YUSIK</t>
  </si>
  <si>
    <t>DESPIDO SIN CAUSA</t>
  </si>
  <si>
    <t>chumehuin 1025</t>
  </si>
  <si>
    <t>ACIAR, EDUARDO CESAR</t>
  </si>
  <si>
    <t>MILTOS, JORGE DANIEL</t>
  </si>
  <si>
    <t>EX Ruta 234 Mza14 Lote12</t>
  </si>
  <si>
    <t xml:space="preserve">IBAÑEZ, NELSON ANDRES EZEQUIEL </t>
  </si>
  <si>
    <t>Victorica 403</t>
  </si>
  <si>
    <t>25 de Mayo</t>
  </si>
  <si>
    <t>La Pampa</t>
  </si>
  <si>
    <t>Lacar 66</t>
  </si>
  <si>
    <t>Islas orcadas 2875</t>
  </si>
  <si>
    <t>Gral Roca</t>
  </si>
  <si>
    <t>Catamarca N°384, B°Los Aromos</t>
  </si>
  <si>
    <t>ARTEAGA, CLAUDIO GABRIEL</t>
  </si>
  <si>
    <t>DEIS, MARIANO ALBERTO</t>
  </si>
  <si>
    <t>BARROS, HECTOR OSVALDO</t>
  </si>
  <si>
    <t>REMIGIO BOSCH 615</t>
  </si>
  <si>
    <t>ASTROZA, JAVIER SEGUNDO</t>
  </si>
  <si>
    <t>DESPIDO CON CAUSA (TELEGRAMA 31/07/2015)</t>
  </si>
  <si>
    <t>299-4576274</t>
  </si>
  <si>
    <t>299-4384594</t>
  </si>
  <si>
    <t>299-4290867</t>
  </si>
  <si>
    <t>299-4384106</t>
  </si>
  <si>
    <t>299-5049619</t>
  </si>
  <si>
    <t>299-5464472</t>
  </si>
  <si>
    <t>299-5746711</t>
  </si>
  <si>
    <t>299-6303207</t>
  </si>
  <si>
    <t>298-4325902</t>
  </si>
  <si>
    <t>299-6327130</t>
  </si>
  <si>
    <t>299-6227835</t>
  </si>
  <si>
    <t>299-4704851</t>
  </si>
  <si>
    <t>BAZZARA, MARÍA LAURA</t>
  </si>
  <si>
    <t>San Ignacio N° 4076 "2", Neuquén</t>
  </si>
  <si>
    <t>Río Dulce N° 746, Neuquén</t>
  </si>
  <si>
    <t>299-4210453</t>
  </si>
  <si>
    <t>NUÑEZ, PABLO ESTEBAN</t>
  </si>
  <si>
    <t>Batilana N° 286, Plottier, Neuquén</t>
  </si>
  <si>
    <t>299-5095578</t>
  </si>
  <si>
    <t>San Martín N° 420, Cipolletti, Río Negro</t>
  </si>
  <si>
    <t>299-5493374</t>
  </si>
  <si>
    <t>CASTILLO, ALFREDO RAMÓN TOMÁS</t>
  </si>
  <si>
    <t>Lider Operaciones</t>
  </si>
  <si>
    <t>LEGAJO</t>
  </si>
  <si>
    <t>APELLIDO Y NOMBRE</t>
  </si>
  <si>
    <t>CONVENIO</t>
  </si>
  <si>
    <t>CARGO/FUNCIÓN</t>
  </si>
  <si>
    <t>Provincia</t>
  </si>
  <si>
    <t>Telefonos</t>
  </si>
  <si>
    <t>Antig.</t>
  </si>
  <si>
    <t>Fec Nac</t>
  </si>
  <si>
    <t>Fec Ing</t>
  </si>
  <si>
    <t>Antigüedad</t>
  </si>
  <si>
    <t>DNI</t>
  </si>
  <si>
    <t>OOSS</t>
  </si>
  <si>
    <t>CATERGORÍA</t>
  </si>
  <si>
    <t>DOMICILIO</t>
  </si>
  <si>
    <t>DÍA</t>
  </si>
  <si>
    <t xml:space="preserve">MES </t>
  </si>
  <si>
    <t>AÑO</t>
  </si>
  <si>
    <t>EDAD</t>
  </si>
  <si>
    <t>ESTUDIOS</t>
  </si>
  <si>
    <t>ENCUADRE</t>
  </si>
  <si>
    <t>FECH NAC</t>
  </si>
  <si>
    <t>CELULAR</t>
  </si>
  <si>
    <t>CIUDAD</t>
  </si>
  <si>
    <t>PROVINCIA</t>
  </si>
  <si>
    <t>SINDICATO</t>
  </si>
  <si>
    <t>MUTUAL</t>
  </si>
  <si>
    <t>DEPÓSITO</t>
  </si>
  <si>
    <t>SEC COMPLETO</t>
  </si>
  <si>
    <t>UNIV INCOMPLETO</t>
  </si>
  <si>
    <t>TÉCNICA EN SEG E HIG</t>
  </si>
  <si>
    <t>INGENIERO ELÉCTRICO</t>
  </si>
  <si>
    <t>INGENIERO INDUSTRIAL</t>
  </si>
  <si>
    <t>FRACASSO, SANTIAGO ENRIQUE</t>
  </si>
  <si>
    <t>XI</t>
  </si>
  <si>
    <t>637/11</t>
  </si>
  <si>
    <t>644/12</t>
  </si>
  <si>
    <t>Auxiliar Slick Line</t>
  </si>
  <si>
    <t>ORTEGA, IGNACIO JOSÉ</t>
  </si>
  <si>
    <t>BARDA DEL MEDIO</t>
  </si>
  <si>
    <t>SEPULVEDA, FACUNDO MAXIMILIANO</t>
  </si>
  <si>
    <t>Barrio Rene Favaloro Mza 517 Lote 13, RDLS, Neuquén</t>
  </si>
  <si>
    <t>RINCÓN DE LOS SAUCES</t>
  </si>
  <si>
    <t>299-5067125</t>
  </si>
  <si>
    <t>CREDICOOP</t>
  </si>
  <si>
    <t>Pedro Hernandez N° 910</t>
  </si>
  <si>
    <t>299-5126760</t>
  </si>
  <si>
    <t>Ayudante Tareas Generales</t>
  </si>
  <si>
    <t>299-4886186</t>
  </si>
  <si>
    <t>299-4219349</t>
  </si>
  <si>
    <t>0299-4932941</t>
  </si>
  <si>
    <t>CONTADOR PÚBLICO</t>
  </si>
  <si>
    <t>LIC ADMINISTRACION EMPRESAS</t>
  </si>
  <si>
    <t>Petrol Jerarquicos</t>
  </si>
  <si>
    <t>Ayudante Servicios Especiales</t>
  </si>
  <si>
    <t>VII</t>
  </si>
  <si>
    <t>BASOALTO, JUAN MANUEL</t>
  </si>
  <si>
    <t>SANDOVAL, DARIO SEBASTIAN</t>
  </si>
  <si>
    <t>MONTSERRAT, SILVANA BEATRIZ</t>
  </si>
  <si>
    <t>299-4287017</t>
  </si>
  <si>
    <t>Paso de la Patria N° 295</t>
  </si>
  <si>
    <t>Pastor Bowdler N° 29</t>
  </si>
  <si>
    <t xml:space="preserve">Las Azaleas N° 768, Neuquén </t>
  </si>
  <si>
    <t>Cura Brochero N° 655 piso PB dpto C</t>
  </si>
  <si>
    <t>J. J. Bussalino N° 2329, B° Confluencia</t>
  </si>
  <si>
    <t>299-5880827</t>
  </si>
  <si>
    <t>INGENIERO EN SISTEMA / POSTRAGO</t>
  </si>
  <si>
    <t>Fuera de Convenio</t>
  </si>
  <si>
    <t>El Ceibo N° 1474, B° Jardines del Ceibo, Plottier</t>
  </si>
  <si>
    <t>299-4230380</t>
  </si>
  <si>
    <t>Chofer guinchero</t>
  </si>
  <si>
    <t>299-6202020</t>
  </si>
  <si>
    <t>Gaviota y Rafael Vazquez</t>
  </si>
  <si>
    <t>SEC INCOMPLETO</t>
  </si>
  <si>
    <t>OLLER, NESTOR DAMIAN</t>
  </si>
  <si>
    <t>299-4295117</t>
  </si>
  <si>
    <t>Ayudante de Tareas Generales</t>
  </si>
  <si>
    <t>299-5082856</t>
  </si>
  <si>
    <t>Representante Técnico Comercial</t>
  </si>
  <si>
    <t>299-6083120</t>
  </si>
  <si>
    <t>MERIÑO, GUILLERMO EMANUEL</t>
  </si>
  <si>
    <t>2 de Abril N° 2575 "B" - B° El Progreso, Neuquén</t>
  </si>
  <si>
    <t>YONAS, MARIA ALEJANDRA</t>
  </si>
  <si>
    <t>Cocinera</t>
  </si>
  <si>
    <t>TECNICO SUP GASTRONOMIA</t>
  </si>
  <si>
    <t>SALASSA, GERARDO NICOLAS</t>
  </si>
  <si>
    <t>Olascoaga 507, Quinta Sección, Mendoza</t>
  </si>
  <si>
    <t xml:space="preserve">MENDOZA </t>
  </si>
  <si>
    <t>MENDOZA</t>
  </si>
  <si>
    <t>0261-5727979</t>
  </si>
  <si>
    <t>HIJOS</t>
  </si>
  <si>
    <t>LEG</t>
  </si>
  <si>
    <t>NOMBRE EMPLEADO</t>
  </si>
  <si>
    <t>20-53968209-2</t>
  </si>
  <si>
    <t>SEPULVEDA RODA MANUEL</t>
  </si>
  <si>
    <t>27-34860636-6</t>
  </si>
  <si>
    <t xml:space="preserve">27-31011462-1 </t>
  </si>
  <si>
    <t xml:space="preserve">ACIAR JOAQUIN EZEQUIEL </t>
  </si>
  <si>
    <t>20-49948611-2</t>
  </si>
  <si>
    <t>ACIAR MAXIMO AGUSTIN</t>
  </si>
  <si>
    <t>23-53966132-9</t>
  </si>
  <si>
    <t>ACIAR SEBASTIAN EDUARDO</t>
  </si>
  <si>
    <t>20-51317884-1</t>
  </si>
  <si>
    <t>ACIAR ALVARO BENJAMIN</t>
  </si>
  <si>
    <t xml:space="preserve">20-51317883-3 </t>
  </si>
  <si>
    <t>CAÑETE LUANA MICHELLE</t>
  </si>
  <si>
    <t>23-10045196-4</t>
  </si>
  <si>
    <t>27-53317152-1</t>
  </si>
  <si>
    <t>27-36800276-9</t>
  </si>
  <si>
    <t>Marengo Martín Gastón</t>
  </si>
  <si>
    <t>Marengo Milena Agostina</t>
  </si>
  <si>
    <t>20-51040242-2</t>
  </si>
  <si>
    <t>27-53561085-7</t>
  </si>
  <si>
    <t>27-48268039-4</t>
  </si>
  <si>
    <t>DEL PICCOLO VALENTINO ALESIO</t>
  </si>
  <si>
    <t>20-20793496-9</t>
  </si>
  <si>
    <t>Matias Mantelli Montserrat</t>
  </si>
  <si>
    <t>20-47849246-5</t>
  </si>
  <si>
    <t>Facundo Mantelli Montserrat</t>
  </si>
  <si>
    <t>20-49751081-4</t>
  </si>
  <si>
    <t>Astroza Rosano Ignacio</t>
  </si>
  <si>
    <t>20-41837554-0</t>
  </si>
  <si>
    <t>Astroza Rosano Guadalupe</t>
  </si>
  <si>
    <t>27-42910064-5</t>
  </si>
  <si>
    <t>ARANGUEZ, FERNANDO ALFREDO</t>
  </si>
  <si>
    <t>27-33393238-0</t>
  </si>
  <si>
    <t>Guilermo Elias Meriño</t>
  </si>
  <si>
    <t>20-51313931-7</t>
  </si>
  <si>
    <t>Margarita Isabella Meriño</t>
  </si>
  <si>
    <t>27-53971760-5</t>
  </si>
  <si>
    <t>27-28698552-7</t>
  </si>
  <si>
    <t>FRANCO ANDRES ALVEAL</t>
  </si>
  <si>
    <t>BRUNO LEONEL ALVEAL</t>
  </si>
  <si>
    <t>20-43434807-3</t>
  </si>
  <si>
    <t>DAHIARA ABIGAIL ALVEAL</t>
  </si>
  <si>
    <t>BASTIAN TAHIEL ALVEAL</t>
  </si>
  <si>
    <t>20-53970952-7</t>
  </si>
  <si>
    <t>23-40415715-9</t>
  </si>
  <si>
    <t>27-47211548-6</t>
  </si>
  <si>
    <t>299-5806031</t>
  </si>
  <si>
    <t>DOMINGUEZ, ROQUE MARIANO</t>
  </si>
  <si>
    <t>DESPIDO</t>
  </si>
  <si>
    <t>walmart3608</t>
  </si>
  <si>
    <t>299-4102940</t>
  </si>
  <si>
    <t>fecha nac</t>
  </si>
  <si>
    <t>NICOLAS HERNAN BALASTEGUI</t>
  </si>
  <si>
    <t>MARCO EMILIANO BALASTEGUI</t>
  </si>
  <si>
    <t>VICTORIA GONZALEZ</t>
  </si>
  <si>
    <t>MAXIMILIANO GONZALEZ</t>
  </si>
  <si>
    <t>no casado legal</t>
  </si>
  <si>
    <t xml:space="preserve">DDJJ Gcias. SIRADIG TRABAJADOR </t>
  </si>
  <si>
    <t>299-4384312</t>
  </si>
  <si>
    <t>B° Agua y Energía Casa 86</t>
  </si>
  <si>
    <t>Calle 16 N° 2461 B° Mz 5</t>
  </si>
  <si>
    <t>299-5107507</t>
  </si>
  <si>
    <t>Realico N° 518, B° Los Alamos</t>
  </si>
  <si>
    <t xml:space="preserve">Los Teros N° 5361 Casa 6 Mza. 44 B° Z1 </t>
  </si>
  <si>
    <t>Gobernador Asmar N° 1128 B° Villa Ceferino</t>
  </si>
  <si>
    <t>Calle 8 B° MUTEN I Balsa Las Perlas</t>
  </si>
  <si>
    <t>Thomas s/n, Casa 15 Mza 26, B° 180 Viviendas</t>
  </si>
  <si>
    <t>Dr. Cesar Milstein 1102, Mza M, Lote 6, B° Don Lucas</t>
  </si>
  <si>
    <t>Collon Cura N° 248 - B° Svelitza</t>
  </si>
  <si>
    <t>MISIONES 1514 B° INTEGRACIÓN</t>
  </si>
  <si>
    <t xml:space="preserve">Roca N° 732, Catriel </t>
  </si>
  <si>
    <t>partidas nac hijos</t>
  </si>
  <si>
    <t>fotot DNI todos</t>
  </si>
  <si>
    <t>acta matrimonio o certif concubinato</t>
  </si>
  <si>
    <t>PIZARRO ABARZUA, LISSETTE ANTONELA</t>
  </si>
  <si>
    <t>Recepcionista</t>
  </si>
  <si>
    <t>Africa 3035, B° Rincón de Emilio</t>
  </si>
  <si>
    <t>299-5403403</t>
  </si>
  <si>
    <t>UNIVERSITARIO INCOMPLETO</t>
  </si>
  <si>
    <t>Licencia  de conducir</t>
  </si>
  <si>
    <t>Fecha Vencimiento</t>
  </si>
  <si>
    <t>SI / NO</t>
  </si>
  <si>
    <t>Carnet Manejo Defensivo</t>
  </si>
  <si>
    <t>X</t>
  </si>
  <si>
    <t>CNRT</t>
  </si>
  <si>
    <t>Categoria</t>
  </si>
  <si>
    <t>Cargas generales / mercancias peligrosas</t>
  </si>
  <si>
    <t>F/ realizacion</t>
  </si>
  <si>
    <t>F/ de vencimiento</t>
  </si>
  <si>
    <t>Tipo</t>
  </si>
  <si>
    <t>Periodico</t>
  </si>
  <si>
    <t>Examenes medicos</t>
  </si>
  <si>
    <t>Preocupacional</t>
  </si>
  <si>
    <t>003108</t>
  </si>
  <si>
    <t>Rivadavia 25, Cinco Saltos.</t>
  </si>
  <si>
    <t>CINCO SALTOS</t>
  </si>
  <si>
    <t>299-5343101</t>
  </si>
  <si>
    <t>BELIZON, JUAN ANDRES</t>
  </si>
  <si>
    <t>Chofer Operador Slick Line</t>
  </si>
  <si>
    <t>MORALES, DIEGO CÉSAR</t>
  </si>
  <si>
    <t>20-30857623-0</t>
  </si>
  <si>
    <t>Machico y Cumelen Casa 59, B° 11 de Octubre</t>
  </si>
  <si>
    <t>x</t>
  </si>
  <si>
    <t>Los Aromos N°1618, Piso 1, Dto 2</t>
  </si>
  <si>
    <t>MEDEL, SERGIO EMILIO</t>
  </si>
  <si>
    <t>Las Abutardas Mz. 2 Lote 19. B° Valentina Sur</t>
  </si>
  <si>
    <t>HERNANDEZ, ANSELMO MAICO</t>
  </si>
  <si>
    <t>Soldado Desconocido 378</t>
  </si>
  <si>
    <t>PEDEMONTE, VICTOR ANDRES</t>
  </si>
  <si>
    <t>???</t>
  </si>
  <si>
    <t>Wuaria Alupu 850 B° 2 de Abril</t>
  </si>
  <si>
    <t>UNIV. INCOMPLETO</t>
  </si>
  <si>
    <t>FLORES, JOSÉ LUIS</t>
  </si>
  <si>
    <t>Copahue 1359, B° Belgrano</t>
  </si>
  <si>
    <t>GIMENEZ, MARIO LUIS</t>
  </si>
  <si>
    <t>12 de Octubre 43, B° Progreso</t>
  </si>
  <si>
    <t>CUTRAL CO</t>
  </si>
  <si>
    <t>FUENTES, JAVIER ANTONIO</t>
  </si>
  <si>
    <t>127901</t>
  </si>
  <si>
    <t>Parcela 17 - Coop. El Labrador S/N B° China Muerta</t>
  </si>
  <si>
    <t>JARA, CARINA NOEMÍ</t>
  </si>
  <si>
    <t>Calle 913 S/N Casa 2447 B° 107 Viviendas</t>
  </si>
  <si>
    <t>TECNICO SUP. EN ADM. DE EMPRESAS</t>
  </si>
  <si>
    <t>20-30972219-2</t>
  </si>
  <si>
    <t>400800</t>
  </si>
  <si>
    <t>TECNICO EN PETROLEO</t>
  </si>
  <si>
    <t>PERALTA, OCTAVIO DAVID</t>
  </si>
  <si>
    <t>AÑELO</t>
  </si>
  <si>
    <t>SANTANA GONZALEZ, DANIEL EDUARDO</t>
  </si>
  <si>
    <t>20-25026653-8</t>
  </si>
  <si>
    <t>76/75</t>
  </si>
  <si>
    <t>UOCRA</t>
  </si>
  <si>
    <t>Oficial Especializado</t>
  </si>
  <si>
    <t>Construccion</t>
  </si>
  <si>
    <t>Rincon Las Perlas B° Riosol MZ 1 Lote 8</t>
  </si>
  <si>
    <t>RINCON LAS PERLAS</t>
  </si>
  <si>
    <t>299-4704151</t>
  </si>
  <si>
    <t>SANTANA GONZALEZ, MARIO ALBERTO</t>
  </si>
  <si>
    <t>Oficial</t>
  </si>
  <si>
    <t>Rincon Las Perlas Calle Lorenzo Urra 430</t>
  </si>
  <si>
    <t>299-5113080</t>
  </si>
  <si>
    <t>Tecnico</t>
  </si>
  <si>
    <t>400909</t>
  </si>
  <si>
    <t>299 155124829</t>
  </si>
  <si>
    <t>ALARCON, LEANDRO NICOLÁS</t>
  </si>
  <si>
    <t>Ayudante</t>
  </si>
  <si>
    <t>20-33952023-3</t>
  </si>
  <si>
    <t>Soldado desconocido 354. B° B Roldan</t>
  </si>
  <si>
    <t>299-5279537</t>
  </si>
  <si>
    <t>PERALTA, JAVIER ALEJANDRO</t>
  </si>
  <si>
    <t>Calle 4 Mza 13 Lote 11</t>
  </si>
  <si>
    <t>299-6269102</t>
  </si>
  <si>
    <t>REJEP, MARIO EMILIO</t>
  </si>
  <si>
    <t>20-22085983-6</t>
  </si>
  <si>
    <t>Laguna Blanca 835</t>
  </si>
  <si>
    <t>299-5946645</t>
  </si>
  <si>
    <t>Administrativa</t>
  </si>
  <si>
    <t>GIACOMELLI, MA. DE LOS ANGELES</t>
  </si>
  <si>
    <t>20-27432191-2</t>
  </si>
  <si>
    <t>Marketing / Comercialización</t>
  </si>
  <si>
    <t>San Javier 4346. B° Urbanización Bosch V Sur</t>
  </si>
  <si>
    <t>299-6227224</t>
  </si>
  <si>
    <t>LORENZINI MORENO, FRANCO GABRIEL</t>
  </si>
  <si>
    <t>Supervisor Well Testing</t>
  </si>
  <si>
    <t>Lider de Operaciones</t>
  </si>
  <si>
    <t>23-36857332-9</t>
  </si>
  <si>
    <t>POLO, FRANCO EXEQUIEL</t>
  </si>
  <si>
    <t>LIZAMA, CRISTIAN GASTON</t>
  </si>
  <si>
    <t>Supervisor de Well Testing</t>
  </si>
  <si>
    <t>RIQUELME, ERNESTO DAVID</t>
  </si>
  <si>
    <t>San Martín 995 B° Aeroparque</t>
  </si>
  <si>
    <t xml:space="preserve">Santa Cruz 423 B° Los Canales </t>
  </si>
  <si>
    <t>Mario Centeno Mza 54 Dx 12 s/n B° San Lorenzo Norte</t>
  </si>
  <si>
    <t>PEREZ, GUSTAVO FLORENCIO</t>
  </si>
  <si>
    <t>CENTENARIO</t>
  </si>
  <si>
    <t>PEÑA RAMOS, RAMÓN DARÍO</t>
  </si>
  <si>
    <t>Dpto. Compras</t>
  </si>
  <si>
    <t>Saturnino Torres 1664</t>
  </si>
  <si>
    <t>ING INDUSTRIAL</t>
  </si>
  <si>
    <t>LEÓN, MARIELA ALEJANDRA</t>
  </si>
  <si>
    <t>Recepción</t>
  </si>
  <si>
    <t>Las Ovejas 75 B° Consorcio San Martín</t>
  </si>
  <si>
    <t>MUÑOZ, ALEJANDRO ADRIÁN</t>
  </si>
  <si>
    <t>FLORES, CRISTIAN SERGIO</t>
  </si>
  <si>
    <t>MARTINEZ, SEBASTIAN FEDERICO</t>
  </si>
  <si>
    <t>Arroyito 468 B° 120 Viviendas</t>
  </si>
  <si>
    <t>HEREDIA, MARCOS ALEJANDRO</t>
  </si>
  <si>
    <t>COSTALLAT, ARIEL EDUARDO</t>
  </si>
  <si>
    <t>Coordinador de seguridad e higiene- Servicios especiales</t>
  </si>
  <si>
    <t>TECNICO EN SEGURIDAD E HIGIENE</t>
  </si>
  <si>
    <t>SECUNDARIO COMPLETO</t>
  </si>
  <si>
    <t>Nahuel Huapi 554 B° parque oeste</t>
  </si>
  <si>
    <t>299-4549198</t>
  </si>
  <si>
    <t>299-4293671</t>
  </si>
  <si>
    <t>299-5291400</t>
  </si>
  <si>
    <t>299-5370759</t>
  </si>
  <si>
    <t>08/06/203</t>
  </si>
  <si>
    <t>PANICCIA, GIULIANO STEFANO</t>
  </si>
  <si>
    <t>LUJAN, ROBERTO SANTOS</t>
  </si>
  <si>
    <t>GORDILLO, DANIEL ENRIQUE</t>
  </si>
  <si>
    <t>FERRADA, ESTEBAN GASTON</t>
  </si>
  <si>
    <t>LEÓN, MARTÍN MIGUEL</t>
  </si>
  <si>
    <t>299-5284153</t>
  </si>
  <si>
    <t>Cadvan sapag 1047</t>
  </si>
  <si>
    <t xml:space="preserve">Operador slick line/chofer guinchero </t>
  </si>
  <si>
    <t>Jorge newbery 2269</t>
  </si>
  <si>
    <t>VECE, IGNACIO MARTIN</t>
  </si>
  <si>
    <t>Esquiu 70 dpto B - B° Villa María</t>
  </si>
  <si>
    <t>LUCERO, WALTER RICARDO</t>
  </si>
  <si>
    <t>OLIVA, ANGEL DAVID</t>
  </si>
  <si>
    <t>Chaneton 1873</t>
  </si>
  <si>
    <t>MOYANO, LUCIANO DARIO</t>
  </si>
  <si>
    <t>Richieri 2360</t>
  </si>
  <si>
    <t>CUÑELAO, NOELIA GISELL</t>
  </si>
  <si>
    <t>Jujuy 396 B° Los Aromos</t>
  </si>
  <si>
    <t>cargas generales</t>
  </si>
  <si>
    <t>Remigio Bosch 2009</t>
  </si>
  <si>
    <t>Tandil 406, Neuquén.</t>
  </si>
  <si>
    <t>JM Flores 408, Cinco Saltos.</t>
  </si>
  <si>
    <t>Rawson 1458, Neuquén.</t>
  </si>
  <si>
    <t>VIDELA, OMAR DAVID</t>
  </si>
  <si>
    <t>La Pampa 233 B°Oeste, Rincon de los Sauces.</t>
  </si>
  <si>
    <t>RINCON DE LOS SAUCES</t>
  </si>
  <si>
    <t>GRIER, FACUNDO</t>
  </si>
  <si>
    <t>20-25082537-5</t>
  </si>
  <si>
    <t>Rufino 4822 Dpto.3, B° Canal V, Neuquen</t>
  </si>
  <si>
    <t>Traful 899, Cutral Co.</t>
  </si>
  <si>
    <t>ALVAREZ ECHAVARRIA, ANGEL GASPAR</t>
  </si>
  <si>
    <t>20-24649695-2</t>
  </si>
  <si>
    <t>Rio Iguazú 715. Loteo Flores. Plottier</t>
  </si>
  <si>
    <t>BPN</t>
  </si>
  <si>
    <t>SUCH EZEQUIEL</t>
  </si>
  <si>
    <t>IBAÑEZ BENDERSKY IGNACIO FERMIN</t>
  </si>
  <si>
    <t>20-41592154-4</t>
  </si>
  <si>
    <t>Lorenzo Crease 290, B° Jardines del Rey</t>
  </si>
  <si>
    <t>JARA MARTIN EMANUEL</t>
  </si>
  <si>
    <t>20-37946084-5</t>
  </si>
  <si>
    <t>LUCERO GUSTAVO JAVIER</t>
  </si>
  <si>
    <t>Casa 233 A S/N B° II</t>
  </si>
  <si>
    <t>V.EL CHOCON</t>
  </si>
  <si>
    <t>20-33067252-9</t>
  </si>
  <si>
    <t>GAITAN DIEGO MARTIN</t>
  </si>
  <si>
    <t>20-34811361-6</t>
  </si>
  <si>
    <t>Los Flamencos Mza.48 casa 15</t>
  </si>
  <si>
    <t>Administracion</t>
  </si>
  <si>
    <t>Marketing/Comercializacion</t>
  </si>
  <si>
    <t>FALLIERE LORENA EDITH</t>
  </si>
  <si>
    <t>Los Menucos 42 B° Consorcio San Martin</t>
  </si>
  <si>
    <t>FREIRE LUCIANO JOSE</t>
  </si>
  <si>
    <t>Dr. Ramon 4395, B° San Lorenzo Norte</t>
  </si>
  <si>
    <t>ALGAÑARAZ FRANCO MATIAS</t>
  </si>
  <si>
    <t>20-38147713-5</t>
  </si>
  <si>
    <t>ESPARZA MATIAS NICOLAS</t>
  </si>
  <si>
    <t>20-32722851-0</t>
  </si>
  <si>
    <t>Juan Moll y Fortin Vidal S/N, B° Cañon</t>
  </si>
  <si>
    <t>FUENTES DANIEL ANDRES</t>
  </si>
  <si>
    <t>20-35596180-0</t>
  </si>
  <si>
    <t>Elsa Escobar 742 B° Villa Isabel</t>
  </si>
  <si>
    <t>MEDER RAFAEL OSCAR</t>
  </si>
  <si>
    <t>20-30225623-4</t>
  </si>
  <si>
    <t>Representante Tecnico Comercial</t>
  </si>
  <si>
    <t>Cosmos 2038 B° Pymes del Sur</t>
  </si>
  <si>
    <t>CASASNOVAS ANA CLAUDIA MARCELA</t>
  </si>
  <si>
    <t>27-17576634-6</t>
  </si>
  <si>
    <t>Serraiotto 376, B° Loteo Navarro</t>
  </si>
  <si>
    <t>IBAÑEZ ZURITA PABLO JAVIER</t>
  </si>
  <si>
    <t>20-20211164-6</t>
  </si>
  <si>
    <t>Coordinador de Operaciones-Comercializacion</t>
  </si>
  <si>
    <t>Napoli 553, B° Manzanar</t>
  </si>
  <si>
    <t>JARAMILLO, SERGIO GASTON</t>
  </si>
  <si>
    <t>20-30385052-0</t>
  </si>
  <si>
    <t>Percy Clarck y eduardo Gomez 348, Chacra 22</t>
  </si>
  <si>
    <t>Oficial Soldador</t>
  </si>
  <si>
    <t>SOSA, DIEGO ARMANDO</t>
  </si>
  <si>
    <t>20-28559219-5</t>
  </si>
  <si>
    <t>Francisco Espinoza 550, B° Industrial.</t>
  </si>
  <si>
    <t>S.P.CHAÑAR</t>
  </si>
  <si>
    <t>TURRION JAVIER NICOLAS</t>
  </si>
  <si>
    <t>23-36945281-9</t>
  </si>
  <si>
    <t>Costa Rica y Nicaragua 1107, B° Sarmiento</t>
  </si>
  <si>
    <t xml:space="preserve">X </t>
  </si>
  <si>
    <t>RIQUELME ERNESTO DAVID</t>
  </si>
  <si>
    <t>PALACIO YOHANA MICAELA</t>
  </si>
  <si>
    <t>MENDEZ JUAN IGNACIO</t>
  </si>
  <si>
    <t>20-37946465-4</t>
  </si>
  <si>
    <t>VELIZ PEDRO PABLO</t>
  </si>
  <si>
    <t>20-34615751-9</t>
  </si>
  <si>
    <t>Dr. Ramon 2228 B° Villa Ceferino</t>
  </si>
  <si>
    <t>20-38493064-7</t>
  </si>
  <si>
    <t xml:space="preserve"> </t>
  </si>
  <si>
    <t>petrol Privados</t>
  </si>
  <si>
    <t>SANCHEZ JOSE SEBASTIAN</t>
  </si>
  <si>
    <t>20-33810174-1</t>
  </si>
  <si>
    <t>CERDA  DAMIAN NICOLAS</t>
  </si>
  <si>
    <t>20-27894739-5</t>
  </si>
  <si>
    <t>Fortin Vidal y Rio Limay 294</t>
  </si>
  <si>
    <t>SERVICIO</t>
  </si>
  <si>
    <t>SLICK LINE</t>
  </si>
  <si>
    <t>WELL TESTING</t>
  </si>
  <si>
    <t>CONSTRUCCION</t>
  </si>
  <si>
    <t>GOMEZ MIGUEL ANGEL</t>
  </si>
  <si>
    <t>Cabellera del Frio Mza 22 Lote 01 S/N, B° Cuenca XV</t>
  </si>
  <si>
    <t>20-38494218-1</t>
  </si>
  <si>
    <t>ARANGUIZ ALEJANDRO MATIAS</t>
  </si>
  <si>
    <t>Anastacio Riol 2442 B° La Esperanza</t>
  </si>
  <si>
    <t>WIRCALEO CAROLINA ANGELA</t>
  </si>
  <si>
    <t>27-37172817-7</t>
  </si>
  <si>
    <t>Quimelen 1945 B° Altos de Alberdi IV</t>
  </si>
  <si>
    <t>Ayudante slick line</t>
  </si>
  <si>
    <t>Ayudante Mantenimiento</t>
  </si>
  <si>
    <t>Auxiliar de Ensayo de Pozo</t>
  </si>
  <si>
    <t>Operador de Pesca</t>
  </si>
  <si>
    <t>Chofer guinchero Slick Line</t>
  </si>
  <si>
    <t>FDZ. ORO</t>
  </si>
  <si>
    <t>javier-aleandro@hotmail.com</t>
  </si>
  <si>
    <t>aecostallat@hotmail.com</t>
  </si>
  <si>
    <t>dominguezmariano07@gmail.com</t>
  </si>
  <si>
    <t>gsalassa@gmail.com</t>
  </si>
  <si>
    <t>ovidela2012@gmail.com</t>
  </si>
  <si>
    <t>facundogrier815@hotmail.com</t>
  </si>
  <si>
    <t>sergiomedel222@gmail.com</t>
  </si>
  <si>
    <t>gustavoperezvime33@gmail.com</t>
  </si>
  <si>
    <t>ignaciovece6@gmail.com</t>
  </si>
  <si>
    <t>walter64@hotmail.com</t>
  </si>
  <si>
    <t>jabelizon@gmail.com</t>
  </si>
  <si>
    <t>diegonqn.m@gmail.com</t>
  </si>
  <si>
    <t>noegisecunelao@gmail.com</t>
  </si>
  <si>
    <t>PIZARRO LUJAN, MAURICIO NAHUEL</t>
  </si>
  <si>
    <t>20-36191918-2</t>
  </si>
  <si>
    <t>Alborada S/N Piso 1 Depto.D B° Suyai ACC6</t>
  </si>
  <si>
    <t>PLAZA HUINCUL</t>
  </si>
  <si>
    <t>RODRIGUEZ DIEGO IGNACIO</t>
  </si>
  <si>
    <t>20-17064856-1</t>
  </si>
  <si>
    <t>Mza 2 Lote 1 , Paque industrial</t>
  </si>
  <si>
    <t>Supervisor</t>
  </si>
  <si>
    <t>El Mensu 1152</t>
  </si>
  <si>
    <t>Santa Fe 267</t>
  </si>
  <si>
    <t>Lago Nahuel Huapi y Paimun 98 B° Parque Oeste</t>
  </si>
  <si>
    <t>Los Aromos 186 N° 2 Piso 1 Dpto B</t>
  </si>
  <si>
    <t>Juan XXIII N° 1131 piso 3 dpto B, Neuquen.</t>
  </si>
  <si>
    <t>Lucas Lucero 4472 Piso 1 Dpto 14B, Neuquén.</t>
  </si>
  <si>
    <t xml:space="preserve">SOLARES PAULO ANDRES </t>
  </si>
  <si>
    <t>23-25437291-9</t>
  </si>
  <si>
    <t>CORACHAN JOAQUIN LEANDRO</t>
  </si>
  <si>
    <t>20-21741269-3</t>
  </si>
  <si>
    <t>Gerente Comercial</t>
  </si>
  <si>
    <t>Francisco Berola 640 Piso 1 Dpto 1, Villa Catalina</t>
  </si>
  <si>
    <t>GUZMAN MARISOL MICAELA</t>
  </si>
  <si>
    <t>27-38808959-3</t>
  </si>
  <si>
    <t>Mucama</t>
  </si>
  <si>
    <t>Servicio de Limpieza</t>
  </si>
  <si>
    <t>El bolson y Darwin 1761, B° Confluencia</t>
  </si>
  <si>
    <t>ROSAS MARIA CELESTE</t>
  </si>
  <si>
    <t>Mozo</t>
  </si>
  <si>
    <t>Isla 125 lote A 4, Loteo Rodriguez</t>
  </si>
  <si>
    <t>GALLARDO CALIRI, JOSE MARÍA</t>
  </si>
  <si>
    <t>Mozo por temporada</t>
  </si>
  <si>
    <t>San Martin 4750</t>
  </si>
  <si>
    <t>Despido</t>
  </si>
  <si>
    <t>RUMIE VITTAR RODOLFO ARIEL</t>
  </si>
  <si>
    <t>PIZARRO RICARDO ALFREDO</t>
  </si>
  <si>
    <t>20-37947231-2</t>
  </si>
  <si>
    <t>20-27424714-3</t>
  </si>
  <si>
    <t>Ingerniero</t>
  </si>
  <si>
    <t>Ticketero</t>
  </si>
  <si>
    <t>Cajero</t>
  </si>
  <si>
    <t>BARROSO CESAR MATIAS</t>
  </si>
  <si>
    <t>20-35635825-3</t>
  </si>
  <si>
    <t>Ayudante de cocina</t>
  </si>
  <si>
    <t>FIGUEROA SUYAI ANGELICA</t>
  </si>
  <si>
    <t>27-34812703-4</t>
  </si>
  <si>
    <t>Auxiliar de Limpieza</t>
  </si>
  <si>
    <t>LOPEZ VIVIANA ALEJANDRA</t>
  </si>
  <si>
    <t>27-24392810-4</t>
  </si>
  <si>
    <t>Pastelera</t>
  </si>
  <si>
    <t>El Chocon 1370 B° Confluencia</t>
  </si>
  <si>
    <t>Mza 44 Lote 5 S/N B°Pehumayen Sector Cuenca XV</t>
  </si>
  <si>
    <t>CALAMUCHITA</t>
  </si>
  <si>
    <t>CORDOBA</t>
  </si>
  <si>
    <t>Pje. Bella Vista 570, Villa Gral. Belgrano</t>
  </si>
  <si>
    <t>VALENZUELA GASTON NATANAEL</t>
  </si>
  <si>
    <t>BASE/MECANICO</t>
  </si>
  <si>
    <t>Mecanico</t>
  </si>
  <si>
    <t>San Luis 4559</t>
  </si>
  <si>
    <t>Renuncia</t>
  </si>
  <si>
    <t>BASE/AYUDANTE</t>
  </si>
  <si>
    <t>El centeno y El trigo S/N B° Nueva Esperanza</t>
  </si>
  <si>
    <t>CARDENAS AREVALO JOSE AURELIO</t>
  </si>
  <si>
    <t>20-95053623-4</t>
  </si>
  <si>
    <t>250/75</t>
  </si>
  <si>
    <t>PINO ALE</t>
  </si>
  <si>
    <t>20-35968749-5</t>
  </si>
  <si>
    <t>Ayudante Slick Line</t>
  </si>
  <si>
    <t>Lago Alumine 1263 B° Aitue</t>
  </si>
  <si>
    <t>SENILLOSA</t>
  </si>
  <si>
    <t xml:space="preserve">BARRA  ORLANDO FABIAN </t>
  </si>
  <si>
    <t>20-21380735-9</t>
  </si>
  <si>
    <t>Oficial Mecanico</t>
  </si>
  <si>
    <t>Alejo Auada 138 B° Los Jardines</t>
  </si>
  <si>
    <t>AVILES ANGEL OMAR</t>
  </si>
  <si>
    <t>20-11843265-8</t>
  </si>
  <si>
    <t>108803</t>
  </si>
  <si>
    <t>Lago Meliquina casa 9 Mza. 82 S/N B° Villa Ceferino</t>
  </si>
  <si>
    <t>SALON</t>
  </si>
  <si>
    <t>VALENZUELA LLAITUL JAVIER NICOLAS</t>
  </si>
  <si>
    <t>20-30785051-6</t>
  </si>
  <si>
    <t>SAMPIETRO VANINA SOLEDAD</t>
  </si>
  <si>
    <t>27-33019525-3</t>
  </si>
  <si>
    <t>Brasil 369, Plottier</t>
  </si>
  <si>
    <t>2995 23-1358</t>
  </si>
  <si>
    <t>2995 12-4563</t>
  </si>
  <si>
    <t>ACOSTA LUCIANO ALEXIS</t>
  </si>
  <si>
    <t>27-38204442-3</t>
  </si>
  <si>
    <t>RILO HERNAN GABRIEL</t>
  </si>
  <si>
    <t>20-32166628-1</t>
  </si>
  <si>
    <t>Ayudante tareas Generales</t>
  </si>
  <si>
    <t>Salta casa 12 San Jose</t>
  </si>
  <si>
    <t>Teniente Noriega 40</t>
  </si>
  <si>
    <t xml:space="preserve">Petrol Privados </t>
  </si>
  <si>
    <t>TRAIPE YANINA BEATRIZ</t>
  </si>
  <si>
    <t>Representante Tecnico</t>
  </si>
  <si>
    <t>SANCHEZ MARCELO IVAN</t>
  </si>
  <si>
    <t>23-22210722-9</t>
  </si>
  <si>
    <t>Remigio Bosch 2524</t>
  </si>
  <si>
    <t>Gerente de ADM-RRHH</t>
  </si>
  <si>
    <t>ALMONACID NORIEGA DANIEL FERNANDO</t>
  </si>
  <si>
    <t>23-38906459-9</t>
  </si>
  <si>
    <t>Lainez 332. Dpto. A</t>
  </si>
  <si>
    <t>ARANDA SERGIO GABRIEL</t>
  </si>
  <si>
    <t>20-31004285-5</t>
  </si>
  <si>
    <t>Medio Oficial</t>
  </si>
  <si>
    <t>B° Fuentealba Pehuenche 2835 casa 7</t>
  </si>
  <si>
    <t>FEREZ JIMENA MARISEL</t>
  </si>
  <si>
    <t>27-36134595-4</t>
  </si>
  <si>
    <t>Antartida Argentina 3523</t>
  </si>
  <si>
    <t>CARGAS GRALES.</t>
  </si>
  <si>
    <t>MALLA JONATHAN GABRIEL</t>
  </si>
  <si>
    <t>20-39008579-7</t>
  </si>
  <si>
    <t>LEFIÑIR MAYRA SILVANA</t>
  </si>
  <si>
    <t>27-33713301-6</t>
  </si>
  <si>
    <t>Aux. de Limpieza</t>
  </si>
  <si>
    <t>MZA 8 LOTE 10 S/N B° CUENCA XVI</t>
  </si>
  <si>
    <t>299-6077560</t>
  </si>
  <si>
    <t>Lote 7 Chacra M11 Loteo Scmidtchen</t>
  </si>
  <si>
    <t>San Lorenzo Manzana 28 Casa 24</t>
  </si>
  <si>
    <t>FLORES, FRANCO LEANDRO</t>
  </si>
  <si>
    <t xml:space="preserve">Casa 233 "A" Barrio N° 2 </t>
  </si>
  <si>
    <t>Honduras 900 Casa 140 Peatonal 11</t>
  </si>
  <si>
    <t>Concordia y Violeta Parra</t>
  </si>
  <si>
    <t>Cochico 1064</t>
  </si>
  <si>
    <t>Soldado Desconocido 1645</t>
  </si>
  <si>
    <t xml:space="preserve">Mza P Lote 15 bardas Soleadas </t>
  </si>
  <si>
    <t>DE CROCE MIGUEL ANGEL</t>
  </si>
  <si>
    <t>CORONEL ALEJANDRO WALTER</t>
  </si>
  <si>
    <t>20-35128234-8</t>
  </si>
  <si>
    <t>20-22116094-1</t>
  </si>
  <si>
    <t>Venado tuerto 1759 depto 26 manzana 30</t>
  </si>
  <si>
    <t>ARAVENA GABRIELA PAOLA</t>
  </si>
  <si>
    <t>23-31892276-4</t>
  </si>
  <si>
    <t>CARRASCO JOSE LEONARDO</t>
  </si>
  <si>
    <t>20-35835340-2</t>
  </si>
  <si>
    <t>VELASQUEZ FRANCO MIGUEL</t>
  </si>
  <si>
    <t>20-29212260-9</t>
  </si>
  <si>
    <t>Ingeniero de Campo</t>
  </si>
  <si>
    <t>MAQUINISTA</t>
  </si>
  <si>
    <t>27-41420694-3</t>
  </si>
  <si>
    <t>Lavacopa</t>
  </si>
  <si>
    <t>Bachero-Limpieza</t>
  </si>
  <si>
    <t>Diag. 1 de Mayo S/N B° Progreso</t>
  </si>
  <si>
    <t>RIVAS KRISZTAFOVICH CAMILA AGUSTINA</t>
  </si>
  <si>
    <t>27-41420694-4</t>
  </si>
  <si>
    <t>CONTRERA DANTE ROLANDO</t>
  </si>
  <si>
    <t>UATRE</t>
  </si>
  <si>
    <t>almodani.3@gmail.com</t>
  </si>
  <si>
    <t>diego.espeche@live.com</t>
  </si>
  <si>
    <t>AGUILERA GONZALO EMILIANO</t>
  </si>
  <si>
    <t>20-34805771-6</t>
  </si>
  <si>
    <t>Fray Mamerto Esquiu 1180, B° Villarino</t>
  </si>
  <si>
    <t>GIMENEZ RICARDO EMANUEL</t>
  </si>
  <si>
    <t>20-38494932-1</t>
  </si>
  <si>
    <t>Ing. Reservorio</t>
  </si>
  <si>
    <t>Parrillero</t>
  </si>
  <si>
    <t>GRILL JULIETA FERNANDA</t>
  </si>
  <si>
    <t>23-30062026-4</t>
  </si>
  <si>
    <t xml:space="preserve">El Quebrachal1798, B° Belgrano </t>
  </si>
  <si>
    <t xml:space="preserve">C. Carrasco Duplex 2 </t>
  </si>
  <si>
    <t>Ayuntuhue y Ayvin casa 33 S/N B° 11 de Octubre</t>
  </si>
  <si>
    <t>Cuba 305, Neuquen</t>
  </si>
  <si>
    <t>PEREZ SILVINA RAQUEL</t>
  </si>
  <si>
    <t>Ayudante de Cocina</t>
  </si>
  <si>
    <t>27-31427823-8</t>
  </si>
  <si>
    <t>ZAMBRANO CAMILA LIHUE</t>
  </si>
  <si>
    <t>27-43553708-7</t>
  </si>
  <si>
    <t>TORRES SANDRA ISABEL</t>
  </si>
  <si>
    <t>20-38791786-2</t>
  </si>
  <si>
    <t>CRUCES LOPEZ SEBASTIAN ANDRES</t>
  </si>
  <si>
    <t>27-22116047-4</t>
  </si>
  <si>
    <t>COFRE PINO ENZO FABIAN</t>
  </si>
  <si>
    <t>20-38493818-4</t>
  </si>
  <si>
    <t>PIZARRO MARÍA ROSA</t>
  </si>
  <si>
    <t>ENCARGADA EVENTOS</t>
  </si>
  <si>
    <t>HEREDIAS ROSANA MABEL</t>
  </si>
  <si>
    <t>CUIDADO PERSONA MAYOR</t>
  </si>
  <si>
    <t>CATEGORÍA</t>
  </si>
  <si>
    <t>PERSONAL CASAS PARTICULARES</t>
  </si>
  <si>
    <t>ASISTENCIA Y CUIDADO DE PERSONAS</t>
  </si>
  <si>
    <t>JUBILADA ISSN NEUQUEN</t>
  </si>
  <si>
    <t>MONOTRIBUTO</t>
  </si>
  <si>
    <t>LAGOS RODRIGO ANDRES</t>
  </si>
  <si>
    <t>20-93056734-6</t>
  </si>
  <si>
    <t>UNDA CARLA MICAELA</t>
  </si>
  <si>
    <t>27-38492737-3</t>
  </si>
  <si>
    <t>MOZO</t>
  </si>
  <si>
    <t>GALVAN NESTOR CLAUDIO</t>
  </si>
  <si>
    <t>20-22670520-2</t>
  </si>
  <si>
    <t>CARGAS GRALES</t>
  </si>
  <si>
    <t>BASOALTO ROBERTO ANTONIO</t>
  </si>
  <si>
    <t>ABANDONO DE TRABAJO</t>
  </si>
  <si>
    <t>20-30755754-2</t>
  </si>
  <si>
    <t>CAÑETE MATEO AARON</t>
  </si>
  <si>
    <t>20-43215907-9</t>
  </si>
  <si>
    <t>MESA NELSON DARIO</t>
  </si>
  <si>
    <t>20-24762318-4</t>
  </si>
  <si>
    <t>MERCADO NAHUEL JEREMIAS</t>
  </si>
  <si>
    <t>20-41977825-8</t>
  </si>
  <si>
    <t>GIMENEZ LINDA EMILI</t>
  </si>
  <si>
    <t>27-32293107-2</t>
  </si>
  <si>
    <t>27-37349000-3</t>
  </si>
  <si>
    <t>FRIEDEL MONICA CECILIA</t>
  </si>
  <si>
    <t>ALARCON LEANDRO NICOLAS</t>
  </si>
  <si>
    <t>23-27789845-4</t>
  </si>
  <si>
    <t>ECHANIZ MARCO DANIEL</t>
  </si>
  <si>
    <t>20-38798477-2</t>
  </si>
  <si>
    <t>MESA VITALE SIXTO ESTEBAN</t>
  </si>
  <si>
    <t>20-37856963-0</t>
  </si>
  <si>
    <t>CORSINO PABLO EZEQUIEL</t>
  </si>
  <si>
    <t>20-37175529-3</t>
  </si>
  <si>
    <t>Auyudante de cocina</t>
  </si>
  <si>
    <t>PEINADO MAURO EXEQUIEL</t>
  </si>
  <si>
    <t>20-33464731-6</t>
  </si>
  <si>
    <t>Cocinero</t>
  </si>
  <si>
    <t>VEGA MANUEL JESUS RENATO</t>
  </si>
  <si>
    <t>20-38494707-8</t>
  </si>
  <si>
    <t>ÑANCUCHE KARINA SOLEDAD ELIANA</t>
  </si>
  <si>
    <t>27-39867709-4</t>
  </si>
  <si>
    <t>ADMINISTRACION</t>
  </si>
  <si>
    <t>Supervisor Slick Line</t>
  </si>
  <si>
    <t>Chofer - Ayudante Tareas Generales</t>
  </si>
  <si>
    <t>Administrador de campo</t>
  </si>
  <si>
    <t>Administración - Resp. De RRHH</t>
  </si>
  <si>
    <t>Administración - Control Documental</t>
  </si>
  <si>
    <t>Administracion - Recepcion</t>
  </si>
  <si>
    <t>LOPEZ MARTIN ALEJANDRO</t>
  </si>
  <si>
    <t>23-41436045-9</t>
  </si>
  <si>
    <t>OBREQUE SUSANA</t>
  </si>
  <si>
    <t>27-32021578-7</t>
  </si>
  <si>
    <t>BERROCAL ALAN ALBERTO</t>
  </si>
  <si>
    <t>20-33260199-8</t>
  </si>
  <si>
    <t>SANCHEZ EMANUEL EMILIANO</t>
  </si>
  <si>
    <t>20-36150804-2</t>
  </si>
  <si>
    <t>ABANDONO</t>
  </si>
  <si>
    <t>MANZANARES ANA PAULA</t>
  </si>
  <si>
    <t>CASTRO ALEJANDRO JOSE</t>
  </si>
  <si>
    <t>20-26909204-2</t>
  </si>
  <si>
    <t>23-42401066-9</t>
  </si>
  <si>
    <t>MERCADO MATIAS SEBASTIAN</t>
  </si>
  <si>
    <t>CASTILLO IVON VANESA</t>
  </si>
  <si>
    <t>27-25725210-3</t>
  </si>
  <si>
    <t>ASTORGA CAMILA YOHANA</t>
  </si>
  <si>
    <t>27-38234443-5</t>
  </si>
  <si>
    <t>ARRIETA VICTOR EDUARDO</t>
  </si>
  <si>
    <t>DURAN DANTE CLAUDIO</t>
  </si>
  <si>
    <t>20-31955776-9</t>
  </si>
  <si>
    <t>20-40696979-8</t>
  </si>
  <si>
    <t>119302</t>
  </si>
  <si>
    <t>CASAMAJOU JONATAN ALEXIS</t>
  </si>
  <si>
    <t>20-41347579-2</t>
  </si>
  <si>
    <t xml:space="preserve">Pigue 2300, B° Alto Godoy MZ5 lote 6 </t>
  </si>
  <si>
    <t>PEREZ ABEL RICARDO</t>
  </si>
  <si>
    <t>20-34129358-9</t>
  </si>
  <si>
    <t>CARGAS GENERALES</t>
  </si>
  <si>
    <t>PSICOFISICO</t>
  </si>
  <si>
    <t>VASQUEZ MAURICIO ALBERTO</t>
  </si>
  <si>
    <t>20-40294640-8</t>
  </si>
  <si>
    <t>ORELLANA LORENA CINTIA</t>
  </si>
  <si>
    <t>27-27666413-7</t>
  </si>
  <si>
    <t>113809</t>
  </si>
  <si>
    <t>000000</t>
  </si>
  <si>
    <t>Cajera</t>
  </si>
  <si>
    <t>MUÑOZ BLAS EZEQUIEL</t>
  </si>
  <si>
    <t>CONSTANZO LEONELA AGUSTINA ANGELES</t>
  </si>
  <si>
    <t>JORQUERA YAZMIN ITATI</t>
  </si>
  <si>
    <t>CISTERNA DANIEL NATALIO</t>
  </si>
  <si>
    <t>20-40442684-3</t>
  </si>
  <si>
    <t>27-41620627-4</t>
  </si>
  <si>
    <t>27-44671843-1</t>
  </si>
  <si>
    <t>20-30010394-5</t>
  </si>
  <si>
    <t>ROJAS JUAN MANUEL</t>
  </si>
  <si>
    <t>20-24794529-7</t>
  </si>
  <si>
    <t>Limpieza</t>
  </si>
  <si>
    <t>Encargado de Salon</t>
  </si>
  <si>
    <t>DOMINGUEZ MOLINA FACUNDO MAXIMILIANO</t>
  </si>
  <si>
    <t>20-42552238-9</t>
  </si>
  <si>
    <t xml:space="preserve">Irigoyen 425 Loteo Guzman </t>
  </si>
  <si>
    <t>PALACIOS JONATAN ANTONIO</t>
  </si>
  <si>
    <t>20-30842908-4</t>
  </si>
  <si>
    <t>ROMERO MAURICIO JOAQUIN</t>
  </si>
  <si>
    <t>MOLINA LUCAS OMAR</t>
  </si>
  <si>
    <t>20-37213579-5</t>
  </si>
  <si>
    <t>20-39131382-3</t>
  </si>
  <si>
    <t>VILLANUEVA VANINA ALEJANDRA</t>
  </si>
  <si>
    <t>27-37907094-4</t>
  </si>
  <si>
    <t>Tec. En Seg. E Hig.</t>
  </si>
  <si>
    <t>ALARCON PABLO GABRIEL</t>
  </si>
  <si>
    <t>20-42910991-5</t>
  </si>
  <si>
    <t>BORQUEZ LUCAS JAVIER</t>
  </si>
  <si>
    <t>20-31076065-0</t>
  </si>
  <si>
    <t>Chofer - Ayudante Tareas Generales Slick Line</t>
  </si>
  <si>
    <t>Oficial Soldador Slick Line (Chofer Ayudante)</t>
  </si>
  <si>
    <t>JURE FRANCI SHIRLEY</t>
  </si>
  <si>
    <t>27-40442786-0</t>
  </si>
  <si>
    <t>IRIBERRY TATIANA MAILEN</t>
  </si>
  <si>
    <t>27-41437850-7</t>
  </si>
  <si>
    <t>SAMPIETRO FERNANDO ERNESTO</t>
  </si>
  <si>
    <t>20-35710052-7</t>
  </si>
  <si>
    <t>MERCANCIAS PELIGROSAS</t>
  </si>
  <si>
    <t>LUJAN ERIC LEONEL</t>
  </si>
  <si>
    <t>20-36075168-7</t>
  </si>
  <si>
    <t>BERMAR CARLOS ALBERTO</t>
  </si>
  <si>
    <t>Chofer-Guinchero Slick Line</t>
  </si>
  <si>
    <t>20-30496390-7</t>
  </si>
  <si>
    <t>MARCON VANESA LORENA</t>
  </si>
  <si>
    <t>27-26458084-1</t>
  </si>
  <si>
    <t>CAU PARNISARI GIULIA</t>
  </si>
  <si>
    <t>27-42646912-5</t>
  </si>
  <si>
    <t>BASUALDO RAMIRO BENJAMIN</t>
  </si>
  <si>
    <t>TARSIA SABRINA MAIA</t>
  </si>
  <si>
    <t>20-47786598-5</t>
  </si>
  <si>
    <t>27-28421853-7</t>
  </si>
  <si>
    <t>Cajera - Administracion</t>
  </si>
  <si>
    <t>RIFFOS NICOLAS OMAR ALEXIS</t>
  </si>
  <si>
    <t>20-34220175-0</t>
  </si>
  <si>
    <t>ORTIZ SANDRA ANGELA</t>
  </si>
  <si>
    <t>27-33943058-1</t>
  </si>
  <si>
    <t>115300</t>
  </si>
  <si>
    <t>RAMIREZ NESTOR EDUARDO</t>
  </si>
  <si>
    <t>20-37758660-4</t>
  </si>
  <si>
    <t>001201</t>
  </si>
  <si>
    <t>Barman</t>
  </si>
  <si>
    <t>sigifredo.pizarro@gruponaser.com.ar</t>
  </si>
  <si>
    <t>mariano.dominguez@gruponaser.com.ar</t>
  </si>
  <si>
    <t>andres.belizon@gruponaser.com.ar</t>
  </si>
  <si>
    <t>juan.basoalto@gruponaser.com.ar</t>
  </si>
  <si>
    <t>maria.basoalto@eventosnaser.com.ar</t>
  </si>
  <si>
    <t>diego.espeche@gruponaser.com.ar</t>
  </si>
  <si>
    <t>gerardo.salassa@gruponaser.com.ar</t>
  </si>
  <si>
    <t>diego.morales@gruponaser.com.ar</t>
  </si>
  <si>
    <t>sergio.medel@gruponaser.com.ar</t>
  </si>
  <si>
    <t>carina.jara@gruponaser.com.ar</t>
  </si>
  <si>
    <t>gustavo.perez@gruponaser.com.ar</t>
  </si>
  <si>
    <t>ignacio.vece@gruponaser.com.ar</t>
  </si>
  <si>
    <t>walter.lucero@gruponaser.com.ar</t>
  </si>
  <si>
    <t>omar.videla@gruponaser.com.ar</t>
  </si>
  <si>
    <t>facundo.grier@gruponaser.com.ar</t>
  </si>
  <si>
    <t>daniel.almonacid@gruponaser.com.ar</t>
  </si>
  <si>
    <t>rodrigo.lagos@gruponaser.com.ar</t>
  </si>
  <si>
    <t>marco.echaniz@gruponaser.com.ar</t>
  </si>
  <si>
    <t>alan.berrocal@gruponaser.com.ar</t>
  </si>
  <si>
    <t>alejandro.castro@gruponaser.com.ar</t>
  </si>
  <si>
    <t>matias.mercado@gruponaser.com.ar</t>
  </si>
  <si>
    <t>jonatan.casamajou@gruponaser.com.ar</t>
  </si>
  <si>
    <t>javier.peralta@gruponaser.com.ar</t>
  </si>
  <si>
    <t>facundo.dominguez@gruponaser.com.ar</t>
  </si>
  <si>
    <t>lucas.borquez@gruponaser.com.ar</t>
  </si>
  <si>
    <t>noelia.cunelao@gruponaser.com.ar</t>
  </si>
  <si>
    <t>miguel.decroce@gruponaser.com.ar</t>
  </si>
  <si>
    <t>administracion@gruponaser.com.ar</t>
  </si>
  <si>
    <t>vanesa.marcon@gruponaser.com.ar</t>
  </si>
  <si>
    <t>ariel.costallat@gruponaser.com.ar</t>
  </si>
  <si>
    <t>QUINTANA NOELIA FERNANDA</t>
  </si>
  <si>
    <t>20-30947522-4</t>
  </si>
  <si>
    <t>MOZA- BARTENDER</t>
  </si>
  <si>
    <t xml:space="preserve">carlos.bermar@gruponaser.com.ar </t>
  </si>
  <si>
    <t>calle 11 tira L4 Planta Baja B. B° Parque Industrial</t>
  </si>
  <si>
    <t>20-30947522-5</t>
  </si>
  <si>
    <t>389/05</t>
  </si>
  <si>
    <t>BONFILS VICTOR</t>
  </si>
  <si>
    <t>UNIDAD DE NEGOCIO</t>
  </si>
  <si>
    <t>SERVICIOS PETROLEROS</t>
  </si>
  <si>
    <t>EVENTOS</t>
  </si>
  <si>
    <t>AGRO</t>
  </si>
  <si>
    <t>SECTOR</t>
  </si>
  <si>
    <t>INGENIERIA</t>
  </si>
  <si>
    <t>RRHH</t>
  </si>
  <si>
    <t>COMPRAS</t>
  </si>
  <si>
    <t>RT</t>
  </si>
  <si>
    <t>GERENCIA</t>
  </si>
  <si>
    <t>MANTENIMIENTO</t>
  </si>
  <si>
    <t>COCINERO</t>
  </si>
  <si>
    <t>AYUDANTE DE COCINA</t>
  </si>
  <si>
    <t>JEFE DE COCINA</t>
  </si>
  <si>
    <t>ENCARGADO DE SALON</t>
  </si>
  <si>
    <t>CAJERO</t>
  </si>
  <si>
    <t>LIMPIEZA</t>
  </si>
  <si>
    <t>XII</t>
  </si>
  <si>
    <t>HSE</t>
  </si>
  <si>
    <t>CALIDAD</t>
  </si>
  <si>
    <t>NIVEL DE ESTUDIOS</t>
  </si>
  <si>
    <t>SIN ESTUDIOS</t>
  </si>
  <si>
    <t>PRIMARIO INCOMPLETO</t>
  </si>
  <si>
    <t>PRIMARIO COMPLETO</t>
  </si>
  <si>
    <t>SECUNDARIO INCOMPLETO</t>
  </si>
  <si>
    <t>TERCIARIO INCOMPLETO</t>
  </si>
  <si>
    <t>TERCIARIO COMPLETO</t>
  </si>
  <si>
    <t>UNIVERSITARIO COMPLETO</t>
  </si>
  <si>
    <t>TERCIARIO EN CURSO</t>
  </si>
  <si>
    <t>UNIVERISTARIO EN CURSO</t>
  </si>
  <si>
    <t>VENTAS</t>
  </si>
  <si>
    <t>LISTADO DE TRABAJADORES</t>
  </si>
  <si>
    <t>PGSN02-F4
Rev.01
Jul. 2025</t>
  </si>
  <si>
    <t>PETROLEROS PRIVADOS</t>
  </si>
  <si>
    <t>PETROLEROS JERARQUICOS</t>
  </si>
  <si>
    <t>FUERA DE CONVENIO</t>
  </si>
  <si>
    <t>ESPECIALIDAD/TITULO</t>
  </si>
  <si>
    <t>MEOPP</t>
  </si>
  <si>
    <t>MPJ</t>
  </si>
  <si>
    <t>AFILIACION SINDICAL</t>
  </si>
  <si>
    <t>AFILIACION MUTUAL</t>
  </si>
  <si>
    <t>WELL CONTROL</t>
  </si>
  <si>
    <t>Vencimiento</t>
  </si>
  <si>
    <t>IZAJE</t>
  </si>
  <si>
    <t>OPERADOR TORQUE</t>
  </si>
  <si>
    <t>OPERADOR</t>
  </si>
  <si>
    <t>SUPERVISOR</t>
  </si>
  <si>
    <t>TRABAJO Y RESCATE EN ALTURA</t>
  </si>
  <si>
    <t>MANEJO DEFENSIVO</t>
  </si>
  <si>
    <t>LICENCIA DE CONDUCIR</t>
  </si>
  <si>
    <t>CATEGORIA</t>
  </si>
  <si>
    <t>VENCIMIENTO</t>
  </si>
  <si>
    <t>EXAMENES MEDICOS</t>
  </si>
  <si>
    <t>REALIZACION</t>
  </si>
  <si>
    <t>TIPO</t>
  </si>
  <si>
    <t>PRE OCUPACIONAL</t>
  </si>
  <si>
    <t>PERIODICO</t>
  </si>
  <si>
    <t>POR CAMBIO DE PUESTO</t>
  </si>
  <si>
    <t>POR AUSENCIA PROLONGADA</t>
  </si>
  <si>
    <t>EGRESO</t>
  </si>
  <si>
    <t>ANTIGÜEDAD</t>
  </si>
  <si>
    <t>INGRESO</t>
  </si>
  <si>
    <t>OBRA SOCIAL</t>
  </si>
  <si>
    <t>LOCALIDAD</t>
  </si>
  <si>
    <t>FECHA NACIMIENTO</t>
  </si>
  <si>
    <t>TELEFONO</t>
  </si>
  <si>
    <t xml:space="preserve">FECHA DE ACTUALIZACION: </t>
  </si>
  <si>
    <t>DEPOSITO</t>
  </si>
  <si>
    <t>EVALUACIONES</t>
  </si>
  <si>
    <t>RESULTADO</t>
  </si>
  <si>
    <t>FLOTA LIVIANA</t>
  </si>
  <si>
    <t>FLOTA PESADA</t>
  </si>
  <si>
    <t>ESLINGADOR Y SEÑAL.</t>
  </si>
  <si>
    <t>FECHA</t>
  </si>
  <si>
    <t>CORREO ELECTRONICO PERSONAL</t>
  </si>
  <si>
    <t>CORREO ELECTRONICO CORPORATIVO</t>
  </si>
  <si>
    <t>FECHA DE NACIMIENTO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</si>
</sst>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00\-00000000\-0"/>
  </numFmts>
  <fonts count="28" x14ac:knownFonts="1">
    <font>
      <sz val="12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2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Arial"/>
      <family val="2"/>
    </font>
    <font>
      <sz val="12"/>
      <name val="Arial"/>
      <family val="2"/>
    </font>
    <font>
      <sz val="10"/>
      <color rgb="FFFF0000"/>
      <name val="Calibri"/>
      <family val="2"/>
    </font>
    <font>
      <b/>
      <u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0"/>
      <name val="Calibri"/>
      <family val="2"/>
      <scheme val="minor"/>
    </font>
    <font>
      <b/>
      <sz val="8"/>
      <color rgb="FF000000"/>
      <name val="Verdana"/>
      <family val="2"/>
    </font>
    <font>
      <u/>
      <sz val="12"/>
      <color theme="10"/>
      <name val="Arial"/>
      <family val="2"/>
    </font>
    <font>
      <sz val="12"/>
      <color theme="10"/>
      <name val="Arial"/>
      <family val="2"/>
    </font>
    <font>
      <u/>
      <sz val="12"/>
      <name val="Arial"/>
      <family val="2"/>
    </font>
    <font>
      <b/>
      <sz val="12"/>
      <color theme="10"/>
      <name val="Arial"/>
      <family val="2"/>
    </font>
    <font>
      <b/>
      <u/>
      <sz val="12"/>
      <name val="Arial"/>
      <family val="2"/>
    </font>
    <font>
      <b/>
      <u/>
      <sz val="12"/>
      <color theme="10"/>
      <name val="Arial"/>
      <family val="2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7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 style="medium">
        <color theme="1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theme="1"/>
      </right>
      <top style="medium">
        <color theme="1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 style="medium">
        <color indexed="64"/>
      </bottom>
      <diagonal/>
    </border>
  </borders>
  <cellStyleXfs count="9">
    <xf numFmtId="0" fontId="0" fillId="0" borderId="0"/>
    <xf numFmtId="0" fontId="2" fillId="0" borderId="0"/>
    <xf numFmtId="0" fontId="2" fillId="0" borderId="0"/>
    <xf numFmtId="0" fontId="8" fillId="0" borderId="0"/>
    <xf numFmtId="0" fontId="1" fillId="0" borderId="0"/>
    <xf numFmtId="0" fontId="9" fillId="0" borderId="0"/>
    <xf numFmtId="0" fontId="5" fillId="0" borderId="0"/>
    <xf numFmtId="0" fontId="17" fillId="0" borderId="0" applyNumberFormat="0" applyFill="0" applyBorder="0" applyAlignment="0" applyProtection="0"/>
    <xf numFmtId="0" fontId="5" fillId="0" borderId="0"/>
  </cellStyleXfs>
  <cellXfs count="531">
    <xf numFmtId="0" fontId="0" fillId="0" borderId="0" xfId="0"/>
    <xf numFmtId="14" fontId="6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vertical="center"/>
    </xf>
    <xf numFmtId="164" fontId="7" fillId="0" borderId="0" xfId="0" applyNumberFormat="1" applyFont="1" applyAlignment="1">
      <alignment horizontal="right" vertical="center"/>
    </xf>
    <xf numFmtId="0" fontId="3" fillId="0" borderId="0" xfId="6" applyFont="1" applyAlignment="1">
      <alignment vertical="center"/>
    </xf>
    <xf numFmtId="0" fontId="3" fillId="0" borderId="0" xfId="6" applyFont="1" applyAlignment="1">
      <alignment horizontal="center" vertical="center"/>
    </xf>
    <xf numFmtId="1" fontId="7" fillId="0" borderId="0" xfId="6" applyNumberFormat="1" applyFont="1" applyAlignment="1">
      <alignment horizontal="center" vertical="center"/>
    </xf>
    <xf numFmtId="0" fontId="6" fillId="0" borderId="0" xfId="6" applyFont="1" applyAlignment="1">
      <alignment vertical="center"/>
    </xf>
    <xf numFmtId="0" fontId="7" fillId="0" borderId="1" xfId="6" applyFont="1" applyBorder="1" applyAlignment="1">
      <alignment horizontal="left" vertical="center"/>
    </xf>
    <xf numFmtId="1" fontId="3" fillId="0" borderId="1" xfId="6" applyNumberFormat="1" applyFont="1" applyBorder="1" applyAlignment="1">
      <alignment horizontal="center" vertical="center"/>
    </xf>
    <xf numFmtId="14" fontId="7" fillId="0" borderId="1" xfId="6" applyNumberFormat="1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1" xfId="6" applyFont="1" applyBorder="1" applyAlignment="1">
      <alignment vertical="center"/>
    </xf>
    <xf numFmtId="0" fontId="7" fillId="0" borderId="1" xfId="6" applyFont="1" applyBorder="1" applyAlignment="1">
      <alignment horizontal="center" vertical="center"/>
    </xf>
    <xf numFmtId="0" fontId="7" fillId="0" borderId="1" xfId="6" applyFont="1" applyBorder="1" applyAlignment="1">
      <alignment vertical="center"/>
    </xf>
    <xf numFmtId="14" fontId="7" fillId="0" borderId="1" xfId="6" applyNumberFormat="1" applyFont="1" applyBorder="1" applyAlignment="1">
      <alignment horizontal="left" vertical="center"/>
    </xf>
    <xf numFmtId="0" fontId="6" fillId="0" borderId="1" xfId="6" applyFont="1" applyBorder="1" applyAlignment="1">
      <alignment vertical="center"/>
    </xf>
    <xf numFmtId="0" fontId="10" fillId="0" borderId="1" xfId="6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64" fontId="7" fillId="0" borderId="1" xfId="6" applyNumberFormat="1" applyFont="1" applyBorder="1" applyAlignment="1">
      <alignment horizontal="center" vertical="center"/>
    </xf>
    <xf numFmtId="0" fontId="11" fillId="0" borderId="0" xfId="6" applyFont="1" applyAlignment="1">
      <alignment vertical="center" wrapText="1"/>
    </xf>
    <xf numFmtId="0" fontId="11" fillId="0" borderId="0" xfId="6" applyFont="1" applyAlignment="1">
      <alignment horizontal="center" vertical="center" wrapText="1"/>
    </xf>
    <xf numFmtId="0" fontId="3" fillId="0" borderId="0" xfId="6" applyFont="1" applyAlignment="1">
      <alignment vertical="center" wrapText="1"/>
    </xf>
    <xf numFmtId="0" fontId="12" fillId="0" borderId="1" xfId="6" applyFont="1" applyBorder="1" applyAlignment="1">
      <alignment vertical="center"/>
    </xf>
    <xf numFmtId="14" fontId="7" fillId="0" borderId="1" xfId="0" applyNumberFormat="1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14" fontId="7" fillId="0" borderId="2" xfId="6" applyNumberFormat="1" applyFont="1" applyBorder="1" applyAlignment="1">
      <alignment horizontal="left" vertical="center"/>
    </xf>
    <xf numFmtId="0" fontId="7" fillId="0" borderId="2" xfId="6" applyFont="1" applyBorder="1" applyAlignment="1">
      <alignment vertical="center"/>
    </xf>
    <xf numFmtId="0" fontId="7" fillId="0" borderId="2" xfId="6" applyFont="1" applyBorder="1" applyAlignment="1">
      <alignment horizontal="center" vertical="center"/>
    </xf>
    <xf numFmtId="0" fontId="7" fillId="0" borderId="2" xfId="6" applyFont="1" applyBorder="1" applyAlignment="1">
      <alignment horizontal="left" vertical="center"/>
    </xf>
    <xf numFmtId="14" fontId="7" fillId="0" borderId="2" xfId="6" applyNumberFormat="1" applyFont="1" applyBorder="1" applyAlignment="1">
      <alignment horizontal="center" vertical="center"/>
    </xf>
    <xf numFmtId="1" fontId="3" fillId="0" borderId="2" xfId="6" applyNumberFormat="1" applyFont="1" applyBorder="1" applyAlignment="1">
      <alignment horizontal="center" vertical="center"/>
    </xf>
    <xf numFmtId="0" fontId="6" fillId="0" borderId="1" xfId="6" applyFont="1" applyBorder="1" applyAlignment="1">
      <alignment horizontal="center" vertical="center"/>
    </xf>
    <xf numFmtId="0" fontId="6" fillId="0" borderId="1" xfId="6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4" fontId="7" fillId="0" borderId="0" xfId="0" applyNumberFormat="1" applyFont="1" applyAlignment="1">
      <alignment horizontal="center" vertical="center"/>
    </xf>
    <xf numFmtId="0" fontId="4" fillId="0" borderId="0" xfId="6" applyFont="1" applyAlignment="1">
      <alignment vertical="center"/>
    </xf>
    <xf numFmtId="164" fontId="7" fillId="0" borderId="2" xfId="6" applyNumberFormat="1" applyFont="1" applyBorder="1" applyAlignment="1">
      <alignment horizontal="center" vertical="center"/>
    </xf>
    <xf numFmtId="0" fontId="6" fillId="0" borderId="2" xfId="6" applyFont="1" applyBorder="1" applyAlignment="1">
      <alignment vertical="center"/>
    </xf>
    <xf numFmtId="0" fontId="6" fillId="0" borderId="2" xfId="6" applyFont="1" applyBorder="1" applyAlignment="1">
      <alignment horizontal="left" vertical="center"/>
    </xf>
    <xf numFmtId="0" fontId="6" fillId="0" borderId="2" xfId="6" applyFont="1" applyBorder="1" applyAlignment="1">
      <alignment horizontal="center" vertical="center"/>
    </xf>
    <xf numFmtId="0" fontId="3" fillId="0" borderId="2" xfId="6" applyFont="1" applyBorder="1" applyAlignment="1">
      <alignment vertical="center"/>
    </xf>
    <xf numFmtId="0" fontId="4" fillId="0" borderId="4" xfId="0" applyFont="1" applyBorder="1" applyAlignment="1">
      <alignment horizontal="center" vertical="center" wrapText="1"/>
    </xf>
    <xf numFmtId="14" fontId="6" fillId="0" borderId="5" xfId="0" applyNumberFormat="1" applyFont="1" applyBorder="1" applyAlignment="1">
      <alignment horizontal="right" vertical="center"/>
    </xf>
    <xf numFmtId="164" fontId="7" fillId="0" borderId="5" xfId="0" applyNumberFormat="1" applyFont="1" applyBorder="1" applyAlignment="1">
      <alignment horizontal="right" vertical="center"/>
    </xf>
    <xf numFmtId="0" fontId="6" fillId="0" borderId="5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14" fontId="6" fillId="0" borderId="5" xfId="0" applyNumberFormat="1" applyFont="1" applyBorder="1" applyAlignment="1">
      <alignment horizontal="left" vertical="center"/>
    </xf>
    <xf numFmtId="14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14" fontId="6" fillId="0" borderId="1" xfId="0" applyNumberFormat="1" applyFont="1" applyBorder="1" applyAlignment="1">
      <alignment horizontal="right" vertical="center"/>
    </xf>
    <xf numFmtId="164" fontId="7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left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4" fontId="6" fillId="0" borderId="1" xfId="0" applyNumberFormat="1" applyFont="1" applyBorder="1" applyAlignment="1">
      <alignment vertical="center"/>
    </xf>
    <xf numFmtId="1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5" xfId="0" applyFont="1" applyBorder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4" fontId="4" fillId="2" borderId="1" xfId="0" applyNumberFormat="1" applyFont="1" applyFill="1" applyBorder="1" applyAlignment="1">
      <alignment vertical="center"/>
    </xf>
    <xf numFmtId="14" fontId="6" fillId="2" borderId="1" xfId="0" applyNumberFormat="1" applyFont="1" applyFill="1" applyBorder="1" applyAlignment="1">
      <alignment horizontal="right" vertical="center"/>
    </xf>
    <xf numFmtId="14" fontId="6" fillId="3" borderId="1" xfId="0" applyNumberFormat="1" applyFont="1" applyFill="1" applyBorder="1" applyAlignment="1">
      <alignment horizontal="right" vertical="center"/>
    </xf>
    <xf numFmtId="14" fontId="4" fillId="0" borderId="5" xfId="0" applyNumberFormat="1" applyFont="1" applyBorder="1" applyAlignment="1">
      <alignment vertical="center"/>
    </xf>
    <xf numFmtId="14" fontId="15" fillId="0" borderId="0" xfId="6" applyNumberFormat="1" applyFont="1" applyAlignment="1">
      <alignment horizontal="center" vertical="center" wrapText="1"/>
    </xf>
    <xf numFmtId="14" fontId="6" fillId="0" borderId="2" xfId="6" applyNumberFormat="1" applyFont="1" applyBorder="1" applyAlignment="1">
      <alignment horizontal="center" vertical="center"/>
    </xf>
    <xf numFmtId="14" fontId="6" fillId="0" borderId="1" xfId="6" applyNumberFormat="1" applyFont="1" applyBorder="1" applyAlignment="1">
      <alignment horizontal="center" vertical="center"/>
    </xf>
    <xf numFmtId="0" fontId="6" fillId="0" borderId="0" xfId="6" applyFont="1" applyAlignment="1">
      <alignment horizontal="center" vertical="center"/>
    </xf>
    <xf numFmtId="0" fontId="4" fillId="0" borderId="0" xfId="6" applyFont="1" applyAlignment="1">
      <alignment horizontal="center" vertical="center"/>
    </xf>
    <xf numFmtId="0" fontId="6" fillId="0" borderId="10" xfId="6" applyFont="1" applyBorder="1" applyAlignment="1">
      <alignment vertical="center"/>
    </xf>
    <xf numFmtId="14" fontId="6" fillId="0" borderId="10" xfId="6" applyNumberFormat="1" applyFont="1" applyBorder="1" applyAlignment="1">
      <alignment horizontal="center" vertical="center"/>
    </xf>
    <xf numFmtId="0" fontId="6" fillId="0" borderId="5" xfId="6" applyFont="1" applyBorder="1" applyAlignment="1">
      <alignment vertical="center"/>
    </xf>
    <xf numFmtId="14" fontId="6" fillId="0" borderId="5" xfId="6" applyNumberFormat="1" applyFont="1" applyBorder="1" applyAlignment="1">
      <alignment horizontal="center" vertical="center"/>
    </xf>
    <xf numFmtId="0" fontId="6" fillId="0" borderId="17" xfId="6" applyFont="1" applyBorder="1" applyAlignment="1">
      <alignment vertical="center"/>
    </xf>
    <xf numFmtId="14" fontId="6" fillId="0" borderId="17" xfId="6" applyNumberFormat="1" applyFont="1" applyBorder="1" applyAlignment="1">
      <alignment horizontal="center" vertical="center"/>
    </xf>
    <xf numFmtId="0" fontId="4" fillId="0" borderId="10" xfId="6" applyFont="1" applyBorder="1" applyAlignment="1">
      <alignment horizontal="center" vertical="center"/>
    </xf>
    <xf numFmtId="0" fontId="4" fillId="0" borderId="5" xfId="6" applyFont="1" applyBorder="1" applyAlignment="1">
      <alignment horizontal="center" vertical="center"/>
    </xf>
    <xf numFmtId="1" fontId="6" fillId="0" borderId="13" xfId="6" applyNumberFormat="1" applyFont="1" applyBorder="1" applyAlignment="1">
      <alignment horizontal="center" vertical="center"/>
    </xf>
    <xf numFmtId="0" fontId="4" fillId="0" borderId="1" xfId="6" applyFont="1" applyBorder="1" applyAlignment="1">
      <alignment horizontal="center" vertical="center"/>
    </xf>
    <xf numFmtId="0" fontId="6" fillId="0" borderId="15" xfId="6" applyFont="1" applyBorder="1" applyAlignment="1">
      <alignment horizontal="center" vertical="center"/>
    </xf>
    <xf numFmtId="0" fontId="4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4" fillId="0" borderId="2" xfId="6" applyFont="1" applyBorder="1" applyAlignment="1">
      <alignment horizontal="center" vertical="center"/>
    </xf>
    <xf numFmtId="0" fontId="4" fillId="0" borderId="0" xfId="6" applyFont="1" applyAlignment="1">
      <alignment horizontal="left" vertical="center"/>
    </xf>
    <xf numFmtId="1" fontId="4" fillId="0" borderId="5" xfId="6" applyNumberFormat="1" applyFont="1" applyBorder="1" applyAlignment="1">
      <alignment horizontal="left" vertical="center"/>
    </xf>
    <xf numFmtId="1" fontId="4" fillId="0" borderId="1" xfId="6" applyNumberFormat="1" applyFont="1" applyBorder="1" applyAlignment="1">
      <alignment horizontal="left" vertical="center"/>
    </xf>
    <xf numFmtId="1" fontId="4" fillId="0" borderId="17" xfId="6" applyNumberFormat="1" applyFont="1" applyBorder="1" applyAlignment="1">
      <alignment horizontal="left" vertical="center"/>
    </xf>
    <xf numFmtId="1" fontId="4" fillId="0" borderId="2" xfId="6" applyNumberFormat="1" applyFont="1" applyBorder="1" applyAlignment="1">
      <alignment horizontal="left" vertical="center"/>
    </xf>
    <xf numFmtId="0" fontId="6" fillId="0" borderId="20" xfId="6" applyFont="1" applyBorder="1" applyAlignment="1">
      <alignment horizontal="center" vertical="center"/>
    </xf>
    <xf numFmtId="1" fontId="4" fillId="0" borderId="10" xfId="6" applyNumberFormat="1" applyFont="1" applyBorder="1" applyAlignment="1">
      <alignment horizontal="center" vertical="center"/>
    </xf>
    <xf numFmtId="0" fontId="6" fillId="0" borderId="13" xfId="6" applyFont="1" applyBorder="1" applyAlignment="1">
      <alignment horizontal="center" vertical="center"/>
    </xf>
    <xf numFmtId="164" fontId="4" fillId="0" borderId="9" xfId="6" applyNumberFormat="1" applyFont="1" applyBorder="1" applyAlignment="1">
      <alignment horizontal="center" vertical="center"/>
    </xf>
    <xf numFmtId="164" fontId="6" fillId="0" borderId="9" xfId="6" applyNumberFormat="1" applyFont="1" applyBorder="1" applyAlignment="1">
      <alignment horizontal="center" vertical="center"/>
    </xf>
    <xf numFmtId="164" fontId="6" fillId="0" borderId="12" xfId="6" applyNumberFormat="1" applyFont="1" applyBorder="1" applyAlignment="1">
      <alignment horizontal="center" vertical="center"/>
    </xf>
    <xf numFmtId="164" fontId="6" fillId="0" borderId="14" xfId="6" applyNumberFormat="1" applyFont="1" applyBorder="1" applyAlignment="1">
      <alignment horizontal="center" vertical="center"/>
    </xf>
    <xf numFmtId="164" fontId="6" fillId="0" borderId="16" xfId="6" applyNumberFormat="1" applyFont="1" applyBorder="1" applyAlignment="1">
      <alignment horizontal="center" vertical="center"/>
    </xf>
    <xf numFmtId="1" fontId="4" fillId="0" borderId="10" xfId="6" applyNumberFormat="1" applyFont="1" applyBorder="1" applyAlignment="1">
      <alignment horizontal="left" vertical="center"/>
    </xf>
    <xf numFmtId="0" fontId="6" fillId="0" borderId="5" xfId="6" applyFont="1" applyBorder="1" applyAlignment="1">
      <alignment horizontal="center" vertical="center"/>
    </xf>
    <xf numFmtId="164" fontId="7" fillId="0" borderId="21" xfId="6" applyNumberFormat="1" applyFont="1" applyBorder="1" applyAlignment="1">
      <alignment horizontal="center" vertical="center"/>
    </xf>
    <xf numFmtId="0" fontId="6" fillId="0" borderId="21" xfId="6" applyFont="1" applyBorder="1" applyAlignment="1">
      <alignment vertical="center"/>
    </xf>
    <xf numFmtId="0" fontId="6" fillId="0" borderId="21" xfId="6" applyFont="1" applyBorder="1" applyAlignment="1">
      <alignment horizontal="center" vertical="center"/>
    </xf>
    <xf numFmtId="14" fontId="6" fillId="0" borderId="21" xfId="6" applyNumberFormat="1" applyFont="1" applyBorder="1" applyAlignment="1">
      <alignment horizontal="center" vertical="center"/>
    </xf>
    <xf numFmtId="1" fontId="3" fillId="0" borderId="21" xfId="6" applyNumberFormat="1" applyFont="1" applyBorder="1" applyAlignment="1">
      <alignment horizontal="center" vertical="center"/>
    </xf>
    <xf numFmtId="0" fontId="7" fillId="0" borderId="21" xfId="6" applyFont="1" applyBorder="1" applyAlignment="1">
      <alignment horizontal="center" vertical="center"/>
    </xf>
    <xf numFmtId="14" fontId="7" fillId="0" borderId="21" xfId="0" applyNumberFormat="1" applyFont="1" applyBorder="1" applyAlignment="1">
      <alignment horizontal="center" vertical="center"/>
    </xf>
    <xf numFmtId="14" fontId="7" fillId="0" borderId="21" xfId="6" applyNumberFormat="1" applyFont="1" applyBorder="1" applyAlignment="1">
      <alignment horizontal="left" vertical="center"/>
    </xf>
    <xf numFmtId="0" fontId="7" fillId="0" borderId="21" xfId="6" applyFont="1" applyBorder="1" applyAlignment="1">
      <alignment horizontal="left" vertical="center"/>
    </xf>
    <xf numFmtId="0" fontId="7" fillId="0" borderId="21" xfId="6" applyFont="1" applyBorder="1" applyAlignment="1">
      <alignment vertical="center"/>
    </xf>
    <xf numFmtId="14" fontId="7" fillId="0" borderId="21" xfId="6" applyNumberFormat="1" applyFont="1" applyBorder="1" applyAlignment="1">
      <alignment horizontal="center" vertical="center"/>
    </xf>
    <xf numFmtId="0" fontId="3" fillId="0" borderId="21" xfId="6" applyFont="1" applyBorder="1" applyAlignment="1">
      <alignment vertical="center"/>
    </xf>
    <xf numFmtId="164" fontId="6" fillId="0" borderId="22" xfId="6" applyNumberFormat="1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14" fontId="3" fillId="0" borderId="1" xfId="6" applyNumberFormat="1" applyFont="1" applyBorder="1" applyAlignment="1">
      <alignment horizontal="center" vertical="center"/>
    </xf>
    <xf numFmtId="164" fontId="6" fillId="0" borderId="29" xfId="6" applyNumberFormat="1" applyFont="1" applyBorder="1" applyAlignment="1">
      <alignment horizontal="center" vertical="center"/>
    </xf>
    <xf numFmtId="0" fontId="6" fillId="0" borderId="30" xfId="6" applyFont="1" applyBorder="1" applyAlignment="1">
      <alignment vertical="center"/>
    </xf>
    <xf numFmtId="0" fontId="4" fillId="0" borderId="30" xfId="6" applyFont="1" applyBorder="1" applyAlignment="1">
      <alignment horizontal="center" vertical="center"/>
    </xf>
    <xf numFmtId="14" fontId="6" fillId="0" borderId="30" xfId="6" applyNumberFormat="1" applyFont="1" applyBorder="1" applyAlignment="1">
      <alignment horizontal="center" vertical="center"/>
    </xf>
    <xf numFmtId="1" fontId="4" fillId="0" borderId="30" xfId="6" applyNumberFormat="1" applyFont="1" applyBorder="1" applyAlignment="1">
      <alignment horizontal="center" vertical="center"/>
    </xf>
    <xf numFmtId="0" fontId="6" fillId="0" borderId="31" xfId="6" applyFont="1" applyBorder="1" applyAlignment="1">
      <alignment horizontal="center" vertical="center"/>
    </xf>
    <xf numFmtId="0" fontId="6" fillId="0" borderId="40" xfId="6" applyFont="1" applyBorder="1" applyAlignment="1">
      <alignment horizontal="center" vertical="center"/>
    </xf>
    <xf numFmtId="0" fontId="4" fillId="0" borderId="41" xfId="6" applyFont="1" applyBorder="1" applyAlignment="1">
      <alignment horizontal="center" vertical="center"/>
    </xf>
    <xf numFmtId="14" fontId="6" fillId="0" borderId="42" xfId="6" applyNumberFormat="1" applyFont="1" applyBorder="1" applyAlignment="1">
      <alignment horizontal="center" vertical="center"/>
    </xf>
    <xf numFmtId="14" fontId="6" fillId="0" borderId="43" xfId="6" applyNumberFormat="1" applyFont="1" applyBorder="1" applyAlignment="1">
      <alignment horizontal="center" vertical="center"/>
    </xf>
    <xf numFmtId="164" fontId="6" fillId="0" borderId="44" xfId="6" applyNumberFormat="1" applyFont="1" applyBorder="1" applyAlignment="1">
      <alignment horizontal="center" vertical="center"/>
    </xf>
    <xf numFmtId="0" fontId="6" fillId="0" borderId="45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4" fillId="0" borderId="33" xfId="6" applyFont="1" applyBorder="1" applyAlignment="1">
      <alignment vertical="center"/>
    </xf>
    <xf numFmtId="0" fontId="4" fillId="0" borderId="34" xfId="6" applyFont="1" applyBorder="1" applyAlignment="1">
      <alignment vertical="center"/>
    </xf>
    <xf numFmtId="0" fontId="4" fillId="0" borderId="36" xfId="6" applyFont="1" applyBorder="1" applyAlignment="1">
      <alignment vertical="center"/>
    </xf>
    <xf numFmtId="0" fontId="4" fillId="0" borderId="25" xfId="6" applyFont="1" applyBorder="1" applyAlignment="1">
      <alignment vertical="center"/>
    </xf>
    <xf numFmtId="0" fontId="4" fillId="0" borderId="26" xfId="6" applyFont="1" applyBorder="1" applyAlignment="1">
      <alignment vertical="center"/>
    </xf>
    <xf numFmtId="14" fontId="4" fillId="0" borderId="36" xfId="6" applyNumberFormat="1" applyFont="1" applyBorder="1" applyAlignment="1">
      <alignment vertical="center"/>
    </xf>
    <xf numFmtId="14" fontId="4" fillId="0" borderId="33" xfId="6" applyNumberFormat="1" applyFont="1" applyBorder="1" applyAlignment="1">
      <alignment vertical="center"/>
    </xf>
    <xf numFmtId="0" fontId="4" fillId="0" borderId="32" xfId="6" applyFont="1" applyBorder="1" applyAlignment="1">
      <alignment vertical="center"/>
    </xf>
    <xf numFmtId="0" fontId="4" fillId="0" borderId="35" xfId="6" applyFont="1" applyBorder="1" applyAlignment="1">
      <alignment vertical="center"/>
    </xf>
    <xf numFmtId="14" fontId="4" fillId="0" borderId="25" xfId="6" applyNumberFormat="1" applyFont="1" applyBorder="1" applyAlignment="1">
      <alignment vertical="center"/>
    </xf>
    <xf numFmtId="14" fontId="4" fillId="0" borderId="26" xfId="6" applyNumberFormat="1" applyFont="1" applyBorder="1" applyAlignment="1">
      <alignment vertical="center"/>
    </xf>
    <xf numFmtId="0" fontId="4" fillId="0" borderId="21" xfId="6" applyFont="1" applyBorder="1" applyAlignment="1">
      <alignment horizontal="center" vertical="center"/>
    </xf>
    <xf numFmtId="1" fontId="4" fillId="0" borderId="21" xfId="6" applyNumberFormat="1" applyFont="1" applyBorder="1" applyAlignment="1">
      <alignment horizontal="left" vertical="center"/>
    </xf>
    <xf numFmtId="14" fontId="4" fillId="0" borderId="32" xfId="6" applyNumberFormat="1" applyFont="1" applyBorder="1" applyAlignment="1">
      <alignment vertical="center"/>
    </xf>
    <xf numFmtId="14" fontId="4" fillId="0" borderId="46" xfId="6" applyNumberFormat="1" applyFont="1" applyBorder="1" applyAlignment="1">
      <alignment vertical="center"/>
    </xf>
    <xf numFmtId="14" fontId="4" fillId="0" borderId="47" xfId="6" applyNumberFormat="1" applyFont="1" applyBorder="1" applyAlignment="1">
      <alignment vertical="center"/>
    </xf>
    <xf numFmtId="14" fontId="4" fillId="0" borderId="48" xfId="6" applyNumberFormat="1" applyFont="1" applyBorder="1" applyAlignment="1">
      <alignment vertical="center"/>
    </xf>
    <xf numFmtId="164" fontId="6" fillId="2" borderId="12" xfId="6" applyNumberFormat="1" applyFont="1" applyFill="1" applyBorder="1" applyAlignment="1">
      <alignment horizontal="center" vertical="center"/>
    </xf>
    <xf numFmtId="0" fontId="6" fillId="2" borderId="5" xfId="6" applyFont="1" applyFill="1" applyBorder="1" applyAlignment="1">
      <alignment vertical="center"/>
    </xf>
    <xf numFmtId="0" fontId="4" fillId="2" borderId="5" xfId="6" applyFont="1" applyFill="1" applyBorder="1" applyAlignment="1">
      <alignment horizontal="center" vertical="center"/>
    </xf>
    <xf numFmtId="0" fontId="4" fillId="2" borderId="32" xfId="6" applyFont="1" applyFill="1" applyBorder="1" applyAlignment="1">
      <alignment vertical="center"/>
    </xf>
    <xf numFmtId="14" fontId="6" fillId="2" borderId="5" xfId="6" applyNumberFormat="1" applyFont="1" applyFill="1" applyBorder="1" applyAlignment="1">
      <alignment horizontal="center" vertical="center"/>
    </xf>
    <xf numFmtId="1" fontId="4" fillId="2" borderId="5" xfId="6" applyNumberFormat="1" applyFont="1" applyFill="1" applyBorder="1" applyAlignment="1">
      <alignment horizontal="left" vertical="center"/>
    </xf>
    <xf numFmtId="0" fontId="6" fillId="2" borderId="5" xfId="6" applyFont="1" applyFill="1" applyBorder="1" applyAlignment="1">
      <alignment horizontal="center" vertical="center"/>
    </xf>
    <xf numFmtId="14" fontId="4" fillId="2" borderId="33" xfId="6" applyNumberFormat="1" applyFont="1" applyFill="1" applyBorder="1" applyAlignment="1">
      <alignment vertical="center"/>
    </xf>
    <xf numFmtId="164" fontId="6" fillId="2" borderId="16" xfId="6" applyNumberFormat="1" applyFont="1" applyFill="1" applyBorder="1" applyAlignment="1">
      <alignment horizontal="center" vertical="center"/>
    </xf>
    <xf numFmtId="0" fontId="4" fillId="2" borderId="35" xfId="6" applyFont="1" applyFill="1" applyBorder="1" applyAlignment="1">
      <alignment vertical="center"/>
    </xf>
    <xf numFmtId="0" fontId="4" fillId="2" borderId="17" xfId="6" applyFont="1" applyFill="1" applyBorder="1" applyAlignment="1">
      <alignment horizontal="center" vertical="center"/>
    </xf>
    <xf numFmtId="14" fontId="6" fillId="2" borderId="17" xfId="6" applyNumberFormat="1" applyFont="1" applyFill="1" applyBorder="1" applyAlignment="1">
      <alignment horizontal="center" vertical="center"/>
    </xf>
    <xf numFmtId="1" fontId="4" fillId="2" borderId="17" xfId="6" applyNumberFormat="1" applyFont="1" applyFill="1" applyBorder="1" applyAlignment="1">
      <alignment horizontal="left" vertical="center"/>
    </xf>
    <xf numFmtId="0" fontId="6" fillId="2" borderId="17" xfId="6" applyFont="1" applyFill="1" applyBorder="1" applyAlignment="1">
      <alignment horizontal="center" vertical="center"/>
    </xf>
    <xf numFmtId="14" fontId="4" fillId="2" borderId="36" xfId="6" applyNumberFormat="1" applyFont="1" applyFill="1" applyBorder="1" applyAlignment="1">
      <alignment vertical="center"/>
    </xf>
    <xf numFmtId="0" fontId="16" fillId="0" borderId="0" xfId="0" applyFont="1"/>
    <xf numFmtId="14" fontId="3" fillId="0" borderId="2" xfId="6" applyNumberFormat="1" applyFont="1" applyBorder="1" applyAlignment="1">
      <alignment horizontal="center" vertical="center"/>
    </xf>
    <xf numFmtId="0" fontId="4" fillId="0" borderId="56" xfId="6" applyFont="1" applyBorder="1" applyAlignment="1">
      <alignment horizontal="left" vertical="center"/>
    </xf>
    <xf numFmtId="0" fontId="3" fillId="0" borderId="56" xfId="6" applyFont="1" applyBorder="1" applyAlignment="1">
      <alignment horizontal="left" vertical="center"/>
    </xf>
    <xf numFmtId="0" fontId="6" fillId="0" borderId="56" xfId="6" applyFont="1" applyBorder="1" applyAlignment="1">
      <alignment horizontal="left" vertical="center"/>
    </xf>
    <xf numFmtId="1" fontId="3" fillId="0" borderId="56" xfId="6" applyNumberFormat="1" applyFont="1" applyBorder="1" applyAlignment="1">
      <alignment horizontal="left" vertical="center"/>
    </xf>
    <xf numFmtId="14" fontId="7" fillId="0" borderId="56" xfId="6" applyNumberFormat="1" applyFont="1" applyBorder="1" applyAlignment="1">
      <alignment horizontal="left" vertical="center"/>
    </xf>
    <xf numFmtId="0" fontId="7" fillId="0" borderId="56" xfId="6" applyFont="1" applyBorder="1" applyAlignment="1">
      <alignment horizontal="left" vertical="center"/>
    </xf>
    <xf numFmtId="0" fontId="7" fillId="5" borderId="56" xfId="6" applyFont="1" applyFill="1" applyBorder="1" applyAlignment="1">
      <alignment horizontal="center" vertical="center"/>
    </xf>
    <xf numFmtId="14" fontId="18" fillId="5" borderId="56" xfId="7" applyNumberFormat="1" applyFont="1" applyFill="1" applyBorder="1" applyAlignment="1">
      <alignment horizontal="left" vertical="center"/>
    </xf>
    <xf numFmtId="0" fontId="6" fillId="6" borderId="56" xfId="6" applyFont="1" applyFill="1" applyBorder="1" applyAlignment="1">
      <alignment horizontal="center" vertical="center"/>
    </xf>
    <xf numFmtId="14" fontId="17" fillId="6" borderId="56" xfId="7" applyNumberFormat="1" applyFill="1" applyBorder="1" applyAlignment="1">
      <alignment horizontal="left" vertical="center"/>
    </xf>
    <xf numFmtId="0" fontId="6" fillId="8" borderId="56" xfId="6" applyFont="1" applyFill="1" applyBorder="1" applyAlignment="1">
      <alignment horizontal="center" vertical="center"/>
    </xf>
    <xf numFmtId="0" fontId="7" fillId="8" borderId="56" xfId="6" applyFont="1" applyFill="1" applyBorder="1" applyAlignment="1">
      <alignment horizontal="left" vertical="center" wrapText="1"/>
    </xf>
    <xf numFmtId="0" fontId="6" fillId="7" borderId="56" xfId="6" applyFont="1" applyFill="1" applyBorder="1" applyAlignment="1">
      <alignment horizontal="left" vertical="center"/>
    </xf>
    <xf numFmtId="14" fontId="6" fillId="7" borderId="57" xfId="6" applyNumberFormat="1" applyFont="1" applyFill="1" applyBorder="1" applyAlignment="1">
      <alignment horizontal="left" vertical="center"/>
    </xf>
    <xf numFmtId="14" fontId="6" fillId="0" borderId="56" xfId="6" applyNumberFormat="1" applyFont="1" applyBorder="1" applyAlignment="1">
      <alignment horizontal="left" vertical="center"/>
    </xf>
    <xf numFmtId="0" fontId="7" fillId="8" borderId="56" xfId="6" applyFont="1" applyFill="1" applyBorder="1" applyAlignment="1">
      <alignment horizontal="left" vertical="center"/>
    </xf>
    <xf numFmtId="0" fontId="6" fillId="0" borderId="58" xfId="6" applyFont="1" applyBorder="1" applyAlignment="1">
      <alignment horizontal="left" vertical="center"/>
    </xf>
    <xf numFmtId="0" fontId="3" fillId="0" borderId="58" xfId="6" applyFont="1" applyBorder="1" applyAlignment="1">
      <alignment horizontal="left" vertical="center"/>
    </xf>
    <xf numFmtId="14" fontId="7" fillId="0" borderId="58" xfId="6" applyNumberFormat="1" applyFont="1" applyBorder="1" applyAlignment="1">
      <alignment horizontal="left" vertical="center"/>
    </xf>
    <xf numFmtId="0" fontId="7" fillId="0" borderId="58" xfId="6" applyFont="1" applyBorder="1" applyAlignment="1">
      <alignment horizontal="left" vertical="center"/>
    </xf>
    <xf numFmtId="165" fontId="6" fillId="0" borderId="56" xfId="6" applyNumberFormat="1" applyFont="1" applyBorder="1" applyAlignment="1">
      <alignment horizontal="left" vertical="center"/>
    </xf>
    <xf numFmtId="14" fontId="17" fillId="7" borderId="54" xfId="7" applyNumberFormat="1" applyFill="1" applyBorder="1" applyAlignment="1">
      <alignment horizontal="left" vertical="center"/>
    </xf>
    <xf numFmtId="0" fontId="7" fillId="0" borderId="58" xfId="6" applyFont="1" applyBorder="1" applyAlignment="1">
      <alignment horizontal="left" vertical="center" wrapText="1"/>
    </xf>
    <xf numFmtId="14" fontId="19" fillId="9" borderId="56" xfId="7" applyNumberFormat="1" applyFont="1" applyFill="1" applyBorder="1" applyAlignment="1">
      <alignment horizontal="left" vertical="center"/>
    </xf>
    <xf numFmtId="0" fontId="7" fillId="0" borderId="56" xfId="6" applyFont="1" applyBorder="1" applyAlignment="1">
      <alignment horizontal="center" vertical="center"/>
    </xf>
    <xf numFmtId="0" fontId="7" fillId="0" borderId="58" xfId="6" applyFont="1" applyBorder="1" applyAlignment="1">
      <alignment horizontal="center" vertical="center"/>
    </xf>
    <xf numFmtId="14" fontId="17" fillId="0" borderId="58" xfId="7" applyNumberFormat="1" applyFill="1" applyBorder="1" applyAlignment="1">
      <alignment horizontal="left" vertical="center"/>
    </xf>
    <xf numFmtId="165" fontId="6" fillId="0" borderId="56" xfId="6" applyNumberFormat="1" applyFont="1" applyBorder="1" applyAlignment="1">
      <alignment horizontal="center" vertical="center"/>
    </xf>
    <xf numFmtId="14" fontId="4" fillId="0" borderId="55" xfId="6" applyNumberFormat="1" applyFont="1" applyBorder="1" applyAlignment="1">
      <alignment horizontal="center" vertical="center"/>
    </xf>
    <xf numFmtId="14" fontId="4" fillId="0" borderId="53" xfId="6" applyNumberFormat="1" applyFont="1" applyBorder="1" applyAlignment="1">
      <alignment horizontal="center" vertical="center"/>
    </xf>
    <xf numFmtId="164" fontId="6" fillId="0" borderId="56" xfId="6" applyNumberFormat="1" applyFont="1" applyBorder="1" applyAlignment="1">
      <alignment horizontal="center" vertical="center"/>
    </xf>
    <xf numFmtId="14" fontId="6" fillId="0" borderId="56" xfId="6" applyNumberFormat="1" applyFont="1" applyBorder="1" applyAlignment="1">
      <alignment horizontal="center" vertical="center"/>
    </xf>
    <xf numFmtId="14" fontId="6" fillId="0" borderId="58" xfId="6" applyNumberFormat="1" applyFont="1" applyBorder="1" applyAlignment="1">
      <alignment horizontal="center" vertical="center"/>
    </xf>
    <xf numFmtId="49" fontId="7" fillId="0" borderId="56" xfId="6" applyNumberFormat="1" applyFont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49" fontId="7" fillId="0" borderId="58" xfId="6" applyNumberFormat="1" applyFont="1" applyBorder="1" applyAlignment="1">
      <alignment horizontal="center" vertical="center"/>
    </xf>
    <xf numFmtId="14" fontId="7" fillId="0" borderId="58" xfId="0" applyNumberFormat="1" applyFont="1" applyBorder="1" applyAlignment="1">
      <alignment horizontal="center" vertical="center"/>
    </xf>
    <xf numFmtId="0" fontId="3" fillId="0" borderId="0" xfId="6" applyFont="1" applyAlignment="1">
      <alignment horizontal="center" vertical="center" wrapText="1"/>
    </xf>
    <xf numFmtId="0" fontId="6" fillId="8" borderId="56" xfId="6" applyFont="1" applyFill="1" applyBorder="1" applyAlignment="1">
      <alignment horizontal="left" vertical="center"/>
    </xf>
    <xf numFmtId="1" fontId="3" fillId="0" borderId="58" xfId="6" applyNumberFormat="1" applyFont="1" applyBorder="1" applyAlignment="1">
      <alignment horizontal="left" vertical="center"/>
    </xf>
    <xf numFmtId="0" fontId="6" fillId="0" borderId="58" xfId="6" applyFont="1" applyBorder="1" applyAlignment="1">
      <alignment horizontal="center" vertical="center"/>
    </xf>
    <xf numFmtId="14" fontId="6" fillId="0" borderId="57" xfId="6" applyNumberFormat="1" applyFont="1" applyBorder="1" applyAlignment="1">
      <alignment horizontal="left" vertical="center"/>
    </xf>
    <xf numFmtId="0" fontId="6" fillId="0" borderId="56" xfId="6" applyFont="1" applyBorder="1" applyAlignment="1">
      <alignment horizontal="center" vertical="center"/>
    </xf>
    <xf numFmtId="0" fontId="6" fillId="5" borderId="56" xfId="6" applyFont="1" applyFill="1" applyBorder="1" applyAlignment="1">
      <alignment horizontal="center" vertical="center"/>
    </xf>
    <xf numFmtId="14" fontId="20" fillId="5" borderId="56" xfId="7" applyNumberFormat="1" applyFont="1" applyFill="1" applyBorder="1" applyAlignment="1">
      <alignment horizontal="left" vertical="center"/>
    </xf>
    <xf numFmtId="14" fontId="21" fillId="6" borderId="56" xfId="7" applyNumberFormat="1" applyFont="1" applyFill="1" applyBorder="1" applyAlignment="1">
      <alignment horizontal="left" vertical="center"/>
    </xf>
    <xf numFmtId="0" fontId="6" fillId="8" borderId="56" xfId="6" applyFont="1" applyFill="1" applyBorder="1" applyAlignment="1">
      <alignment horizontal="left" vertical="center" wrapText="1"/>
    </xf>
    <xf numFmtId="14" fontId="22" fillId="7" borderId="56" xfId="7" applyNumberFormat="1" applyFont="1" applyFill="1" applyBorder="1"/>
    <xf numFmtId="0" fontId="6" fillId="0" borderId="56" xfId="6" applyFont="1" applyBorder="1" applyAlignment="1">
      <alignment horizontal="left" vertical="center" wrapText="1"/>
    </xf>
    <xf numFmtId="14" fontId="17" fillId="0" borderId="56" xfId="7" applyNumberFormat="1" applyFill="1" applyBorder="1" applyAlignment="1">
      <alignment horizontal="left" vertical="center"/>
    </xf>
    <xf numFmtId="0" fontId="7" fillId="0" borderId="56" xfId="6" applyFont="1" applyBorder="1" applyAlignment="1">
      <alignment horizontal="left" vertical="center" wrapText="1"/>
    </xf>
    <xf numFmtId="14" fontId="3" fillId="0" borderId="0" xfId="6" applyNumberFormat="1" applyFont="1" applyAlignment="1">
      <alignment vertical="center"/>
    </xf>
    <xf numFmtId="0" fontId="0" fillId="0" borderId="59" xfId="0" applyBorder="1"/>
    <xf numFmtId="14" fontId="17" fillId="0" borderId="58" xfId="7" applyNumberFormat="1" applyFill="1" applyBorder="1" applyAlignment="1">
      <alignment horizontal="center" vertical="center"/>
    </xf>
    <xf numFmtId="14" fontId="19" fillId="0" borderId="58" xfId="7" applyNumberFormat="1" applyFont="1" applyFill="1" applyBorder="1" applyAlignment="1">
      <alignment horizontal="center" vertical="center"/>
    </xf>
    <xf numFmtId="164" fontId="6" fillId="0" borderId="58" xfId="6" applyNumberFormat="1" applyFont="1" applyBorder="1" applyAlignment="1">
      <alignment horizontal="center" vertical="center"/>
    </xf>
    <xf numFmtId="0" fontId="3" fillId="10" borderId="0" xfId="6" applyFont="1" applyFill="1" applyAlignment="1">
      <alignment vertical="center"/>
    </xf>
    <xf numFmtId="14" fontId="17" fillId="0" borderId="0" xfId="7" applyNumberFormat="1" applyFill="1" applyBorder="1" applyAlignment="1">
      <alignment horizontal="center" vertical="center"/>
    </xf>
    <xf numFmtId="14" fontId="6" fillId="0" borderId="57" xfId="6" applyNumberFormat="1" applyFont="1" applyBorder="1" applyAlignment="1">
      <alignment horizontal="center" vertical="center"/>
    </xf>
    <xf numFmtId="0" fontId="4" fillId="0" borderId="63" xfId="6" applyFont="1" applyBorder="1" applyAlignment="1">
      <alignment horizontal="left" vertical="center"/>
    </xf>
    <xf numFmtId="0" fontId="3" fillId="0" borderId="63" xfId="6" applyFont="1" applyBorder="1" applyAlignment="1">
      <alignment horizontal="left" vertical="center"/>
    </xf>
    <xf numFmtId="1" fontId="3" fillId="0" borderId="63" xfId="6" applyNumberFormat="1" applyFont="1" applyBorder="1" applyAlignment="1">
      <alignment horizontal="center" vertical="center"/>
    </xf>
    <xf numFmtId="49" fontId="7" fillId="0" borderId="63" xfId="6" applyNumberFormat="1" applyFont="1" applyBorder="1" applyAlignment="1">
      <alignment horizontal="center" vertical="center"/>
    </xf>
    <xf numFmtId="0" fontId="3" fillId="0" borderId="63" xfId="6" applyFont="1" applyBorder="1" applyAlignment="1">
      <alignment horizontal="center" vertical="center"/>
    </xf>
    <xf numFmtId="14" fontId="7" fillId="0" borderId="63" xfId="6" applyNumberFormat="1" applyFont="1" applyBorder="1" applyAlignment="1">
      <alignment horizontal="left" vertical="center"/>
    </xf>
    <xf numFmtId="1" fontId="3" fillId="0" borderId="63" xfId="6" applyNumberFormat="1" applyFont="1" applyBorder="1" applyAlignment="1">
      <alignment horizontal="left" vertical="center"/>
    </xf>
    <xf numFmtId="0" fontId="6" fillId="0" borderId="63" xfId="6" applyFont="1" applyBorder="1" applyAlignment="1">
      <alignment horizontal="center" vertical="center"/>
    </xf>
    <xf numFmtId="0" fontId="6" fillId="0" borderId="63" xfId="6" applyFont="1" applyBorder="1" applyAlignment="1">
      <alignment horizontal="left" vertical="center"/>
    </xf>
    <xf numFmtId="164" fontId="3" fillId="0" borderId="59" xfId="6" applyNumberFormat="1" applyFont="1" applyBorder="1" applyAlignment="1">
      <alignment horizontal="center" vertical="center"/>
    </xf>
    <xf numFmtId="0" fontId="4" fillId="0" borderId="59" xfId="6" applyFont="1" applyBorder="1" applyAlignment="1">
      <alignment horizontal="left" vertical="center"/>
    </xf>
    <xf numFmtId="0" fontId="3" fillId="0" borderId="59" xfId="6" applyFont="1" applyBorder="1" applyAlignment="1">
      <alignment horizontal="left" vertical="center"/>
    </xf>
    <xf numFmtId="14" fontId="6" fillId="0" borderId="59" xfId="6" applyNumberFormat="1" applyFont="1" applyBorder="1" applyAlignment="1">
      <alignment horizontal="center" vertical="center"/>
    </xf>
    <xf numFmtId="1" fontId="3" fillId="0" borderId="59" xfId="6" applyNumberFormat="1" applyFont="1" applyBorder="1" applyAlignment="1">
      <alignment horizontal="center" vertical="center"/>
    </xf>
    <xf numFmtId="49" fontId="7" fillId="0" borderId="59" xfId="6" applyNumberFormat="1" applyFont="1" applyBorder="1" applyAlignment="1">
      <alignment horizontal="center" vertical="center"/>
    </xf>
    <xf numFmtId="0" fontId="3" fillId="0" borderId="59" xfId="6" applyFont="1" applyBorder="1" applyAlignment="1">
      <alignment horizontal="center" vertical="center"/>
    </xf>
    <xf numFmtId="14" fontId="7" fillId="0" borderId="59" xfId="6" applyNumberFormat="1" applyFont="1" applyBorder="1" applyAlignment="1">
      <alignment horizontal="left" vertical="center"/>
    </xf>
    <xf numFmtId="0" fontId="7" fillId="0" borderId="59" xfId="6" applyFont="1" applyBorder="1" applyAlignment="1">
      <alignment horizontal="center" vertical="center"/>
    </xf>
    <xf numFmtId="0" fontId="7" fillId="0" borderId="59" xfId="6" applyFont="1" applyBorder="1" applyAlignment="1">
      <alignment horizontal="left" vertical="center"/>
    </xf>
    <xf numFmtId="1" fontId="3" fillId="0" borderId="59" xfId="6" applyNumberFormat="1" applyFont="1" applyBorder="1" applyAlignment="1">
      <alignment horizontal="left" vertical="center"/>
    </xf>
    <xf numFmtId="14" fontId="17" fillId="0" borderId="59" xfId="7" applyNumberFormat="1" applyBorder="1" applyAlignment="1">
      <alignment horizontal="center"/>
    </xf>
    <xf numFmtId="0" fontId="6" fillId="0" borderId="59" xfId="6" applyFont="1" applyBorder="1" applyAlignment="1">
      <alignment horizontal="center" vertical="center"/>
    </xf>
    <xf numFmtId="0" fontId="7" fillId="0" borderId="59" xfId="6" applyFont="1" applyBorder="1" applyAlignment="1">
      <alignment horizontal="left" vertical="center" wrapText="1"/>
    </xf>
    <xf numFmtId="0" fontId="6" fillId="0" borderId="59" xfId="6" applyFont="1" applyBorder="1" applyAlignment="1">
      <alignment horizontal="left" vertical="center"/>
    </xf>
    <xf numFmtId="14" fontId="17" fillId="0" borderId="59" xfId="7" applyNumberFormat="1" applyFill="1" applyBorder="1" applyAlignment="1">
      <alignment horizontal="left"/>
    </xf>
    <xf numFmtId="14" fontId="6" fillId="0" borderId="66" xfId="6" applyNumberFormat="1" applyFont="1" applyBorder="1" applyAlignment="1">
      <alignment horizontal="center" vertical="center"/>
    </xf>
    <xf numFmtId="164" fontId="7" fillId="0" borderId="59" xfId="6" applyNumberFormat="1" applyFont="1" applyBorder="1" applyAlignment="1">
      <alignment horizontal="center" vertical="center"/>
    </xf>
    <xf numFmtId="165" fontId="6" fillId="0" borderId="59" xfId="6" applyNumberFormat="1" applyFont="1" applyBorder="1" applyAlignment="1">
      <alignment horizontal="left" vertical="center"/>
    </xf>
    <xf numFmtId="14" fontId="7" fillId="0" borderId="59" xfId="0" applyNumberFormat="1" applyFont="1" applyBorder="1" applyAlignment="1">
      <alignment horizontal="center" vertical="center"/>
    </xf>
    <xf numFmtId="14" fontId="17" fillId="0" borderId="59" xfId="7" applyNumberFormat="1" applyFill="1" applyBorder="1" applyAlignment="1">
      <alignment horizontal="center"/>
    </xf>
    <xf numFmtId="14" fontId="17" fillId="0" borderId="59" xfId="7" applyNumberFormat="1" applyFill="1" applyBorder="1" applyAlignment="1">
      <alignment horizontal="left" vertical="center"/>
    </xf>
    <xf numFmtId="0" fontId="0" fillId="0" borderId="59" xfId="0" applyBorder="1" applyAlignment="1">
      <alignment horizontal="center"/>
    </xf>
    <xf numFmtId="14" fontId="17" fillId="0" borderId="59" xfId="7" applyNumberFormat="1" applyFill="1" applyBorder="1" applyAlignment="1">
      <alignment horizontal="center" vertical="center"/>
    </xf>
    <xf numFmtId="0" fontId="6" fillId="10" borderId="59" xfId="6" applyFont="1" applyFill="1" applyBorder="1" applyAlignment="1">
      <alignment horizontal="left" vertical="center"/>
    </xf>
    <xf numFmtId="164" fontId="7" fillId="10" borderId="59" xfId="6" applyNumberFormat="1" applyFont="1" applyFill="1" applyBorder="1" applyAlignment="1">
      <alignment horizontal="center" vertical="center"/>
    </xf>
    <xf numFmtId="0" fontId="3" fillId="10" borderId="59" xfId="6" applyFont="1" applyFill="1" applyBorder="1" applyAlignment="1">
      <alignment horizontal="left" vertical="center"/>
    </xf>
    <xf numFmtId="165" fontId="6" fillId="10" borderId="59" xfId="6" applyNumberFormat="1" applyFont="1" applyFill="1" applyBorder="1" applyAlignment="1">
      <alignment horizontal="left" vertical="center"/>
    </xf>
    <xf numFmtId="14" fontId="6" fillId="10" borderId="59" xfId="6" applyNumberFormat="1" applyFont="1" applyFill="1" applyBorder="1" applyAlignment="1">
      <alignment horizontal="center" vertical="center"/>
    </xf>
    <xf numFmtId="49" fontId="7" fillId="10" borderId="59" xfId="6" applyNumberFormat="1" applyFont="1" applyFill="1" applyBorder="1" applyAlignment="1">
      <alignment horizontal="center" vertical="center"/>
    </xf>
    <xf numFmtId="14" fontId="7" fillId="10" borderId="59" xfId="0" applyNumberFormat="1" applyFont="1" applyFill="1" applyBorder="1" applyAlignment="1">
      <alignment horizontal="center" vertical="center"/>
    </xf>
    <xf numFmtId="14" fontId="7" fillId="10" borderId="59" xfId="6" applyNumberFormat="1" applyFont="1" applyFill="1" applyBorder="1" applyAlignment="1">
      <alignment horizontal="left" vertical="center"/>
    </xf>
    <xf numFmtId="0" fontId="7" fillId="10" borderId="59" xfId="6" applyFont="1" applyFill="1" applyBorder="1" applyAlignment="1">
      <alignment horizontal="center" vertical="center"/>
    </xf>
    <xf numFmtId="0" fontId="7" fillId="10" borderId="59" xfId="6" applyFont="1" applyFill="1" applyBorder="1" applyAlignment="1">
      <alignment horizontal="left" vertical="center"/>
    </xf>
    <xf numFmtId="1" fontId="3" fillId="10" borderId="59" xfId="6" applyNumberFormat="1" applyFont="1" applyFill="1" applyBorder="1" applyAlignment="1">
      <alignment horizontal="left" vertical="center"/>
    </xf>
    <xf numFmtId="14" fontId="17" fillId="10" borderId="59" xfId="7" applyNumberFormat="1" applyFill="1" applyBorder="1" applyAlignment="1">
      <alignment horizontal="center"/>
    </xf>
    <xf numFmtId="0" fontId="6" fillId="10" borderId="59" xfId="6" applyFont="1" applyFill="1" applyBorder="1" applyAlignment="1">
      <alignment horizontal="center" vertical="center"/>
    </xf>
    <xf numFmtId="14" fontId="17" fillId="10" borderId="59" xfId="7" applyNumberFormat="1" applyFill="1" applyBorder="1" applyAlignment="1">
      <alignment horizontal="center" vertical="center"/>
    </xf>
    <xf numFmtId="0" fontId="7" fillId="10" borderId="59" xfId="6" applyFont="1" applyFill="1" applyBorder="1" applyAlignment="1">
      <alignment horizontal="left" vertical="center" wrapText="1"/>
    </xf>
    <xf numFmtId="0" fontId="3" fillId="11" borderId="0" xfId="6" applyFont="1" applyFill="1" applyAlignment="1">
      <alignment vertical="center" wrapText="1"/>
    </xf>
    <xf numFmtId="0" fontId="4" fillId="11" borderId="25" xfId="6" applyFont="1" applyFill="1" applyBorder="1" applyAlignment="1">
      <alignment horizontal="center" vertical="center" wrapText="1"/>
    </xf>
    <xf numFmtId="0" fontId="6" fillId="11" borderId="51" xfId="6" applyFont="1" applyFill="1" applyBorder="1" applyAlignment="1">
      <alignment horizontal="center" vertical="center"/>
    </xf>
    <xf numFmtId="0" fontId="6" fillId="11" borderId="52" xfId="6" applyFont="1" applyFill="1" applyBorder="1" applyAlignment="1">
      <alignment horizontal="center" vertical="center"/>
    </xf>
    <xf numFmtId="0" fontId="6" fillId="11" borderId="49" xfId="6" applyFont="1" applyFill="1" applyBorder="1" applyAlignment="1">
      <alignment horizontal="center" vertical="center"/>
    </xf>
    <xf numFmtId="0" fontId="6" fillId="0" borderId="67" xfId="6" applyFont="1" applyBorder="1" applyAlignment="1">
      <alignment horizontal="left" vertical="center"/>
    </xf>
    <xf numFmtId="0" fontId="3" fillId="0" borderId="67" xfId="6" applyFont="1" applyBorder="1" applyAlignment="1">
      <alignment horizontal="left" vertical="center"/>
    </xf>
    <xf numFmtId="165" fontId="6" fillId="0" borderId="67" xfId="6" applyNumberFormat="1" applyFont="1" applyBorder="1" applyAlignment="1">
      <alignment horizontal="left" vertical="center"/>
    </xf>
    <xf numFmtId="14" fontId="6" fillId="0" borderId="67" xfId="6" applyNumberFormat="1" applyFont="1" applyBorder="1" applyAlignment="1">
      <alignment horizontal="center" vertical="center"/>
    </xf>
    <xf numFmtId="14" fontId="7" fillId="0" borderId="67" xfId="0" applyNumberFormat="1" applyFont="1" applyBorder="1" applyAlignment="1">
      <alignment horizontal="center" vertical="center"/>
    </xf>
    <xf numFmtId="14" fontId="7" fillId="0" borderId="67" xfId="6" applyNumberFormat="1" applyFont="1" applyBorder="1" applyAlignment="1">
      <alignment horizontal="left" vertical="center"/>
    </xf>
    <xf numFmtId="0" fontId="7" fillId="0" borderId="67" xfId="6" applyFont="1" applyBorder="1" applyAlignment="1">
      <alignment horizontal="center" vertical="center"/>
    </xf>
    <xf numFmtId="0" fontId="7" fillId="0" borderId="67" xfId="6" applyFont="1" applyBorder="1" applyAlignment="1">
      <alignment horizontal="left" vertical="center"/>
    </xf>
    <xf numFmtId="1" fontId="3" fillId="0" borderId="67" xfId="6" applyNumberFormat="1" applyFont="1" applyBorder="1" applyAlignment="1">
      <alignment horizontal="left" vertical="center"/>
    </xf>
    <xf numFmtId="14" fontId="17" fillId="0" borderId="67" xfId="7" applyNumberFormat="1" applyFill="1" applyBorder="1" applyAlignment="1">
      <alignment horizontal="center" vertical="center"/>
    </xf>
    <xf numFmtId="0" fontId="6" fillId="0" borderId="67" xfId="6" applyFont="1" applyBorder="1" applyAlignment="1">
      <alignment horizontal="center" vertical="center"/>
    </xf>
    <xf numFmtId="0" fontId="7" fillId="0" borderId="67" xfId="6" applyFont="1" applyBorder="1" applyAlignment="1">
      <alignment horizontal="left" vertical="center" wrapText="1"/>
    </xf>
    <xf numFmtId="14" fontId="17" fillId="0" borderId="67" xfId="7" applyNumberFormat="1" applyFill="1" applyBorder="1" applyAlignment="1">
      <alignment horizontal="left"/>
    </xf>
    <xf numFmtId="14" fontId="4" fillId="0" borderId="65" xfId="6" applyNumberFormat="1" applyFont="1" applyBorder="1" applyAlignment="1">
      <alignment horizontal="center" vertical="center"/>
    </xf>
    <xf numFmtId="164" fontId="6" fillId="10" borderId="59" xfId="6" applyNumberFormat="1" applyFont="1" applyFill="1" applyBorder="1" applyAlignment="1">
      <alignment horizontal="center" vertical="center"/>
    </xf>
    <xf numFmtId="164" fontId="6" fillId="0" borderId="59" xfId="6" applyNumberFormat="1" applyFont="1" applyBorder="1" applyAlignment="1">
      <alignment horizontal="center" vertical="center"/>
    </xf>
    <xf numFmtId="14" fontId="4" fillId="0" borderId="59" xfId="6" applyNumberFormat="1" applyFont="1" applyBorder="1" applyAlignment="1">
      <alignment horizontal="center" vertical="center"/>
    </xf>
    <xf numFmtId="14" fontId="17" fillId="10" borderId="59" xfId="7" applyNumberFormat="1" applyFill="1" applyBorder="1" applyAlignment="1">
      <alignment horizontal="left"/>
    </xf>
    <xf numFmtId="3" fontId="3" fillId="0" borderId="59" xfId="6" applyNumberFormat="1" applyFont="1" applyBorder="1" applyAlignment="1">
      <alignment horizontal="left" vertical="center"/>
    </xf>
    <xf numFmtId="14" fontId="17" fillId="0" borderId="0" xfId="7" applyNumberFormat="1" applyAlignment="1">
      <alignment horizontal="center"/>
    </xf>
    <xf numFmtId="0" fontId="3" fillId="0" borderId="59" xfId="6" applyFont="1" applyBorder="1" applyAlignment="1">
      <alignment vertical="center"/>
    </xf>
    <xf numFmtId="0" fontId="3" fillId="0" borderId="0" xfId="6" applyFont="1" applyAlignment="1">
      <alignment horizontal="left" vertical="center" wrapText="1"/>
    </xf>
    <xf numFmtId="0" fontId="4" fillId="11" borderId="32" xfId="6" applyFont="1" applyFill="1" applyBorder="1" applyAlignment="1">
      <alignment horizontal="left" vertical="center"/>
    </xf>
    <xf numFmtId="14" fontId="17" fillId="0" borderId="0" xfId="7" applyNumberFormat="1" applyAlignment="1">
      <alignment horizontal="left"/>
    </xf>
    <xf numFmtId="0" fontId="3" fillId="0" borderId="0" xfId="6" applyFont="1" applyAlignment="1">
      <alignment horizontal="left" vertical="center"/>
    </xf>
    <xf numFmtId="0" fontId="4" fillId="11" borderId="33" xfId="6" applyFont="1" applyFill="1" applyBorder="1" applyAlignment="1">
      <alignment horizontal="left" vertical="center"/>
    </xf>
    <xf numFmtId="14" fontId="6" fillId="0" borderId="64" xfId="6" applyNumberFormat="1" applyFont="1" applyBorder="1" applyAlignment="1">
      <alignment horizontal="left" vertical="center"/>
    </xf>
    <xf numFmtId="14" fontId="4" fillId="0" borderId="66" xfId="6" applyNumberFormat="1" applyFont="1" applyBorder="1" applyAlignment="1">
      <alignment horizontal="left" vertical="center"/>
    </xf>
    <xf numFmtId="14" fontId="6" fillId="0" borderId="59" xfId="6" applyNumberFormat="1" applyFont="1" applyBorder="1" applyAlignment="1">
      <alignment horizontal="left" vertical="center"/>
    </xf>
    <xf numFmtId="14" fontId="6" fillId="0" borderId="67" xfId="6" applyNumberFormat="1" applyFont="1" applyBorder="1" applyAlignment="1">
      <alignment horizontal="left" vertical="center"/>
    </xf>
    <xf numFmtId="3" fontId="3" fillId="0" borderId="63" xfId="6" applyNumberFormat="1" applyFont="1" applyBorder="1" applyAlignment="1">
      <alignment horizontal="left" vertical="center"/>
    </xf>
    <xf numFmtId="14" fontId="17" fillId="0" borderId="67" xfId="7" applyNumberFormat="1" applyFill="1" applyBorder="1" applyAlignment="1">
      <alignment horizontal="left" vertical="center"/>
    </xf>
    <xf numFmtId="14" fontId="7" fillId="0" borderId="59" xfId="6" applyNumberFormat="1" applyFont="1" applyBorder="1" applyAlignment="1">
      <alignment horizontal="center" vertical="center"/>
    </xf>
    <xf numFmtId="0" fontId="3" fillId="0" borderId="68" xfId="6" applyFont="1" applyBorder="1" applyAlignment="1">
      <alignment horizontal="center" vertical="center"/>
    </xf>
    <xf numFmtId="164" fontId="6" fillId="0" borderId="67" xfId="6" applyNumberFormat="1" applyFont="1" applyBorder="1" applyAlignment="1">
      <alignment horizontal="center" vertical="center"/>
    </xf>
    <xf numFmtId="0" fontId="4" fillId="0" borderId="61" xfId="6" applyFont="1" applyBorder="1" applyAlignment="1">
      <alignment vertical="center"/>
    </xf>
    <xf numFmtId="14" fontId="17" fillId="0" borderId="59" xfId="7" applyNumberFormat="1" applyBorder="1" applyAlignment="1">
      <alignment horizontal="left" vertical="center"/>
    </xf>
    <xf numFmtId="14" fontId="3" fillId="0" borderId="59" xfId="6" applyNumberFormat="1" applyFont="1" applyBorder="1" applyAlignment="1">
      <alignment horizontal="left" vertical="center"/>
    </xf>
    <xf numFmtId="14" fontId="17" fillId="0" borderId="59" xfId="7" applyNumberFormat="1" applyBorder="1" applyAlignment="1">
      <alignment horizontal="center" vertical="center"/>
    </xf>
    <xf numFmtId="0" fontId="4" fillId="0" borderId="59" xfId="6" applyFont="1" applyBorder="1" applyAlignment="1">
      <alignment vertical="center"/>
    </xf>
    <xf numFmtId="49" fontId="6" fillId="0" borderId="59" xfId="6" applyNumberFormat="1" applyFont="1" applyBorder="1" applyAlignment="1">
      <alignment horizontal="center" vertical="center"/>
    </xf>
    <xf numFmtId="14" fontId="6" fillId="0" borderId="59" xfId="0" applyNumberFormat="1" applyFont="1" applyBorder="1" applyAlignment="1">
      <alignment horizontal="center" vertical="center"/>
    </xf>
    <xf numFmtId="1" fontId="4" fillId="0" borderId="59" xfId="6" applyNumberFormat="1" applyFont="1" applyBorder="1" applyAlignment="1">
      <alignment horizontal="left" vertical="center"/>
    </xf>
    <xf numFmtId="14" fontId="22" fillId="0" borderId="0" xfId="7" applyNumberFormat="1" applyFont="1" applyAlignment="1">
      <alignment horizontal="center"/>
    </xf>
    <xf numFmtId="14" fontId="22" fillId="0" borderId="59" xfId="7" applyNumberFormat="1" applyFont="1" applyBorder="1" applyAlignment="1">
      <alignment horizontal="center"/>
    </xf>
    <xf numFmtId="14" fontId="22" fillId="0" borderId="59" xfId="7" applyNumberFormat="1" applyFont="1" applyFill="1" applyBorder="1" applyAlignment="1">
      <alignment horizontal="left" vertical="center"/>
    </xf>
    <xf numFmtId="0" fontId="6" fillId="0" borderId="59" xfId="6" applyFont="1" applyBorder="1" applyAlignment="1">
      <alignment horizontal="left" vertical="center" wrapText="1"/>
    </xf>
    <xf numFmtId="14" fontId="22" fillId="0" borderId="59" xfId="7" applyNumberFormat="1" applyFont="1" applyFill="1" applyBorder="1" applyAlignment="1">
      <alignment horizontal="center" vertical="center"/>
    </xf>
    <xf numFmtId="14" fontId="22" fillId="0" borderId="59" xfId="7" applyNumberFormat="1" applyFont="1" applyFill="1" applyBorder="1" applyAlignment="1">
      <alignment horizontal="left"/>
    </xf>
    <xf numFmtId="14" fontId="22" fillId="0" borderId="59" xfId="7" applyNumberFormat="1" applyFont="1" applyFill="1" applyBorder="1" applyAlignment="1">
      <alignment horizontal="center"/>
    </xf>
    <xf numFmtId="14" fontId="22" fillId="0" borderId="0" xfId="7" applyNumberFormat="1" applyFont="1" applyAlignment="1">
      <alignment horizontal="left"/>
    </xf>
    <xf numFmtId="49" fontId="6" fillId="0" borderId="67" xfId="6" applyNumberFormat="1" applyFont="1" applyBorder="1" applyAlignment="1">
      <alignment horizontal="center" vertical="center"/>
    </xf>
    <xf numFmtId="14" fontId="6" fillId="0" borderId="67" xfId="0" applyNumberFormat="1" applyFont="1" applyBorder="1" applyAlignment="1">
      <alignment horizontal="center" vertical="center"/>
    </xf>
    <xf numFmtId="0" fontId="4" fillId="0" borderId="67" xfId="6" applyFont="1" applyBorder="1" applyAlignment="1">
      <alignment horizontal="left" vertical="center"/>
    </xf>
    <xf numFmtId="1" fontId="4" fillId="0" borderId="67" xfId="6" applyNumberFormat="1" applyFont="1" applyBorder="1" applyAlignment="1">
      <alignment horizontal="left" vertical="center"/>
    </xf>
    <xf numFmtId="14" fontId="22" fillId="0" borderId="67" xfId="7" applyNumberFormat="1" applyFont="1" applyFill="1" applyBorder="1" applyAlignment="1">
      <alignment horizontal="center" vertical="center"/>
    </xf>
    <xf numFmtId="0" fontId="6" fillId="0" borderId="67" xfId="6" applyFont="1" applyBorder="1" applyAlignment="1">
      <alignment horizontal="left" vertical="center" wrapText="1"/>
    </xf>
    <xf numFmtId="14" fontId="22" fillId="0" borderId="67" xfId="7" applyNumberFormat="1" applyFont="1" applyFill="1" applyBorder="1" applyAlignment="1">
      <alignment horizontal="left"/>
    </xf>
    <xf numFmtId="14" fontId="21" fillId="0" borderId="59" xfId="7" applyNumberFormat="1" applyFont="1" applyFill="1" applyBorder="1" applyAlignment="1">
      <alignment horizontal="center" vertical="center"/>
    </xf>
    <xf numFmtId="14" fontId="23" fillId="0" borderId="0" xfId="0" applyNumberFormat="1" applyFont="1" applyAlignment="1">
      <alignment horizontal="left"/>
    </xf>
    <xf numFmtId="0" fontId="4" fillId="0" borderId="59" xfId="6" applyFont="1" applyBorder="1" applyAlignment="1">
      <alignment horizontal="center" vertical="center"/>
    </xf>
    <xf numFmtId="14" fontId="4" fillId="0" borderId="59" xfId="6" applyNumberFormat="1" applyFont="1" applyBorder="1" applyAlignment="1">
      <alignment horizontal="left" vertical="center"/>
    </xf>
    <xf numFmtId="14" fontId="22" fillId="0" borderId="59" xfId="7" applyNumberFormat="1" applyFont="1" applyBorder="1" applyAlignment="1">
      <alignment horizontal="center" vertical="center"/>
    </xf>
    <xf numFmtId="14" fontId="22" fillId="0" borderId="59" xfId="7" applyNumberFormat="1" applyFont="1" applyBorder="1" applyAlignment="1">
      <alignment horizontal="left" vertical="center"/>
    </xf>
    <xf numFmtId="14" fontId="4" fillId="0" borderId="0" xfId="0" applyNumberFormat="1" applyFont="1" applyAlignment="1">
      <alignment vertical="center"/>
    </xf>
    <xf numFmtId="14" fontId="4" fillId="0" borderId="59" xfId="0" applyNumberFormat="1" applyFont="1" applyBorder="1" applyAlignment="1">
      <alignment horizontal="center" vertical="center"/>
    </xf>
    <xf numFmtId="0" fontId="4" fillId="0" borderId="59" xfId="0" applyFont="1" applyBorder="1"/>
    <xf numFmtId="14" fontId="3" fillId="0" borderId="59" xfId="0" applyNumberFormat="1" applyFont="1" applyBorder="1" applyAlignment="1">
      <alignment horizontal="center"/>
    </xf>
    <xf numFmtId="0" fontId="4" fillId="0" borderId="25" xfId="0" applyFont="1" applyBorder="1" applyAlignment="1">
      <alignment horizontal="center" vertical="center" wrapText="1"/>
    </xf>
    <xf numFmtId="14" fontId="3" fillId="0" borderId="59" xfId="6" applyNumberFormat="1" applyFont="1" applyBorder="1" applyAlignment="1">
      <alignment horizontal="center" vertical="center"/>
    </xf>
    <xf numFmtId="0" fontId="17" fillId="0" borderId="0" xfId="7"/>
    <xf numFmtId="14" fontId="3" fillId="0" borderId="59" xfId="0" applyNumberFormat="1" applyFont="1" applyBorder="1" applyAlignment="1">
      <alignment horizontal="center" vertical="center"/>
    </xf>
    <xf numFmtId="0" fontId="3" fillId="0" borderId="60" xfId="6" applyFont="1" applyBorder="1" applyAlignment="1">
      <alignment horizontal="left" vertical="center"/>
    </xf>
    <xf numFmtId="0" fontId="3" fillId="0" borderId="59" xfId="0" applyFont="1" applyBorder="1"/>
    <xf numFmtId="0" fontId="4" fillId="0" borderId="62" xfId="6" applyFont="1" applyBorder="1" applyAlignment="1">
      <alignment vertical="center"/>
    </xf>
    <xf numFmtId="0" fontId="6" fillId="0" borderId="62" xfId="6" applyFont="1" applyBorder="1" applyAlignment="1">
      <alignment horizontal="left" vertical="center"/>
    </xf>
    <xf numFmtId="17" fontId="3" fillId="0" borderId="59" xfId="6" applyNumberFormat="1" applyFont="1" applyBorder="1" applyAlignment="1">
      <alignment horizontal="center" vertical="center"/>
    </xf>
    <xf numFmtId="0" fontId="3" fillId="0" borderId="62" xfId="6" applyFont="1" applyBorder="1" applyAlignment="1">
      <alignment horizontal="left" vertical="center"/>
    </xf>
    <xf numFmtId="0" fontId="3" fillId="10" borderId="59" xfId="6" applyFont="1" applyFill="1" applyBorder="1" applyAlignment="1">
      <alignment vertical="center"/>
    </xf>
    <xf numFmtId="14" fontId="17" fillId="0" borderId="0" xfId="7" applyNumberFormat="1"/>
    <xf numFmtId="49" fontId="3" fillId="0" borderId="59" xfId="6" applyNumberFormat="1" applyFont="1" applyBorder="1" applyAlignment="1">
      <alignment horizontal="center" vertical="center"/>
    </xf>
    <xf numFmtId="0" fontId="24" fillId="0" borderId="59" xfId="6" applyFont="1" applyBorder="1" applyAlignment="1">
      <alignment horizontal="center" vertical="center"/>
    </xf>
    <xf numFmtId="164" fontId="3" fillId="0" borderId="63" xfId="6" applyNumberFormat="1" applyFont="1" applyBorder="1" applyAlignment="1">
      <alignment horizontal="center" vertical="center"/>
    </xf>
    <xf numFmtId="165" fontId="4" fillId="0" borderId="63" xfId="6" applyNumberFormat="1" applyFont="1" applyBorder="1" applyAlignment="1">
      <alignment horizontal="left" vertical="center"/>
    </xf>
    <xf numFmtId="14" fontId="6" fillId="0" borderId="63" xfId="6" applyNumberFormat="1" applyFont="1" applyBorder="1" applyAlignment="1">
      <alignment horizontal="center" vertical="center"/>
    </xf>
    <xf numFmtId="0" fontId="7" fillId="0" borderId="63" xfId="6" applyFont="1" applyBorder="1" applyAlignment="1">
      <alignment horizontal="center" vertical="center"/>
    </xf>
    <xf numFmtId="0" fontId="7" fillId="0" borderId="63" xfId="6" applyFont="1" applyBorder="1" applyAlignment="1">
      <alignment horizontal="left" vertical="center"/>
    </xf>
    <xf numFmtId="0" fontId="7" fillId="0" borderId="63" xfId="6" applyFont="1" applyBorder="1" applyAlignment="1">
      <alignment horizontal="left" vertical="center" wrapText="1"/>
    </xf>
    <xf numFmtId="14" fontId="17" fillId="0" borderId="63" xfId="7" applyNumberFormat="1" applyFill="1" applyBorder="1" applyAlignment="1">
      <alignment horizontal="left"/>
    </xf>
    <xf numFmtId="0" fontId="4" fillId="0" borderId="0" xfId="6" applyFont="1" applyAlignment="1">
      <alignment horizontal="center" vertical="center" wrapText="1"/>
    </xf>
    <xf numFmtId="14" fontId="17" fillId="0" borderId="63" xfId="7" applyNumberFormat="1" applyFill="1" applyBorder="1" applyAlignment="1">
      <alignment horizontal="center"/>
    </xf>
    <xf numFmtId="14" fontId="17" fillId="0" borderId="0" xfId="7" applyNumberFormat="1" applyFill="1" applyBorder="1" applyAlignment="1">
      <alignment horizontal="center"/>
    </xf>
    <xf numFmtId="0" fontId="4" fillId="11" borderId="11" xfId="0" applyFont="1" applyFill="1" applyBorder="1" applyAlignment="1">
      <alignment horizontal="center" vertical="center" wrapText="1"/>
    </xf>
    <xf numFmtId="164" fontId="3" fillId="0" borderId="68" xfId="6" applyNumberFormat="1" applyFont="1" applyBorder="1" applyAlignment="1">
      <alignment horizontal="center" vertical="center"/>
    </xf>
    <xf numFmtId="0" fontId="4" fillId="0" borderId="68" xfId="6" applyFont="1" applyBorder="1" applyAlignment="1">
      <alignment horizontal="left" vertical="center"/>
    </xf>
    <xf numFmtId="3" fontId="3" fillId="0" borderId="68" xfId="6" applyNumberFormat="1" applyFont="1" applyBorder="1" applyAlignment="1">
      <alignment horizontal="left" vertical="center"/>
    </xf>
    <xf numFmtId="165" fontId="4" fillId="0" borderId="68" xfId="6" applyNumberFormat="1" applyFont="1" applyBorder="1" applyAlignment="1">
      <alignment horizontal="left" vertical="center"/>
    </xf>
    <xf numFmtId="14" fontId="6" fillId="0" borderId="68" xfId="6" applyNumberFormat="1" applyFont="1" applyBorder="1" applyAlignment="1">
      <alignment horizontal="center" vertical="center"/>
    </xf>
    <xf numFmtId="1" fontId="3" fillId="0" borderId="68" xfId="6" applyNumberFormat="1" applyFont="1" applyBorder="1" applyAlignment="1">
      <alignment horizontal="center" vertical="center"/>
    </xf>
    <xf numFmtId="49" fontId="7" fillId="0" borderId="68" xfId="6" applyNumberFormat="1" applyFont="1" applyBorder="1" applyAlignment="1">
      <alignment horizontal="center" vertical="center"/>
    </xf>
    <xf numFmtId="14" fontId="7" fillId="0" borderId="68" xfId="6" applyNumberFormat="1" applyFont="1" applyBorder="1" applyAlignment="1">
      <alignment horizontal="left" vertical="center"/>
    </xf>
    <xf numFmtId="0" fontId="7" fillId="0" borderId="68" xfId="6" applyFont="1" applyBorder="1" applyAlignment="1">
      <alignment horizontal="center" vertical="center"/>
    </xf>
    <xf numFmtId="0" fontId="7" fillId="0" borderId="68" xfId="6" applyFont="1" applyBorder="1" applyAlignment="1">
      <alignment horizontal="left" vertical="center"/>
    </xf>
    <xf numFmtId="0" fontId="3" fillId="0" borderId="68" xfId="6" applyFont="1" applyBorder="1" applyAlignment="1">
      <alignment horizontal="left" vertical="center"/>
    </xf>
    <xf numFmtId="1" fontId="3" fillId="0" borderId="68" xfId="6" applyNumberFormat="1" applyFont="1" applyBorder="1" applyAlignment="1">
      <alignment horizontal="left" vertical="center"/>
    </xf>
    <xf numFmtId="0" fontId="6" fillId="0" borderId="68" xfId="6" applyFont="1" applyBorder="1" applyAlignment="1">
      <alignment horizontal="center" vertical="center"/>
    </xf>
    <xf numFmtId="14" fontId="17" fillId="0" borderId="68" xfId="7" applyNumberFormat="1" applyFill="1" applyBorder="1" applyAlignment="1">
      <alignment horizontal="center"/>
    </xf>
    <xf numFmtId="0" fontId="7" fillId="0" borderId="68" xfId="6" applyFont="1" applyBorder="1" applyAlignment="1">
      <alignment horizontal="left" vertical="center" wrapText="1"/>
    </xf>
    <xf numFmtId="0" fontId="6" fillId="0" borderId="68" xfId="6" applyFont="1" applyBorder="1" applyAlignment="1">
      <alignment horizontal="left" vertical="center"/>
    </xf>
    <xf numFmtId="14" fontId="17" fillId="0" borderId="68" xfId="7" applyNumberFormat="1" applyFill="1" applyBorder="1" applyAlignment="1">
      <alignment horizontal="left"/>
    </xf>
    <xf numFmtId="14" fontId="6" fillId="0" borderId="70" xfId="6" applyNumberFormat="1" applyFont="1" applyBorder="1" applyAlignment="1">
      <alignment horizontal="left" vertical="center"/>
    </xf>
    <xf numFmtId="14" fontId="6" fillId="0" borderId="63" xfId="6" applyNumberFormat="1" applyFont="1" applyBorder="1" applyAlignment="1">
      <alignment horizontal="left" vertical="center"/>
    </xf>
    <xf numFmtId="0" fontId="3" fillId="0" borderId="68" xfId="6" applyFont="1" applyBorder="1" applyAlignment="1">
      <alignment vertical="center"/>
    </xf>
    <xf numFmtId="14" fontId="3" fillId="0" borderId="68" xfId="6" applyNumberFormat="1" applyFont="1" applyBorder="1" applyAlignment="1">
      <alignment vertical="center"/>
    </xf>
    <xf numFmtId="0" fontId="11" fillId="0" borderId="0" xfId="6" applyFont="1" applyAlignment="1">
      <alignment horizontal="left" vertical="center" wrapText="1"/>
    </xf>
    <xf numFmtId="0" fontId="3" fillId="2" borderId="59" xfId="6" applyFont="1" applyFill="1" applyBorder="1" applyAlignment="1">
      <alignment horizontal="center" vertical="center"/>
    </xf>
    <xf numFmtId="164" fontId="7" fillId="2" borderId="59" xfId="6" applyNumberFormat="1" applyFont="1" applyFill="1" applyBorder="1" applyAlignment="1">
      <alignment horizontal="center" vertical="center"/>
    </xf>
    <xf numFmtId="0" fontId="6" fillId="2" borderId="59" xfId="6" applyFont="1" applyFill="1" applyBorder="1" applyAlignment="1">
      <alignment horizontal="left" vertical="center"/>
    </xf>
    <xf numFmtId="165" fontId="6" fillId="2" borderId="59" xfId="6" applyNumberFormat="1" applyFont="1" applyFill="1" applyBorder="1" applyAlignment="1">
      <alignment horizontal="left" vertical="center"/>
    </xf>
    <xf numFmtId="14" fontId="4" fillId="2" borderId="59" xfId="6" applyNumberFormat="1" applyFont="1" applyFill="1" applyBorder="1" applyAlignment="1">
      <alignment horizontal="center" vertical="center"/>
    </xf>
    <xf numFmtId="1" fontId="3" fillId="2" borderId="59" xfId="6" applyNumberFormat="1" applyFont="1" applyFill="1" applyBorder="1" applyAlignment="1">
      <alignment horizontal="center" vertical="center"/>
    </xf>
    <xf numFmtId="49" fontId="7" fillId="2" borderId="59" xfId="6" applyNumberFormat="1" applyFont="1" applyFill="1" applyBorder="1" applyAlignment="1">
      <alignment horizontal="center" vertical="center"/>
    </xf>
    <xf numFmtId="14" fontId="7" fillId="2" borderId="59" xfId="0" applyNumberFormat="1" applyFont="1" applyFill="1" applyBorder="1" applyAlignment="1">
      <alignment horizontal="center" vertical="center"/>
    </xf>
    <xf numFmtId="14" fontId="7" fillId="2" borderId="59" xfId="6" applyNumberFormat="1" applyFont="1" applyFill="1" applyBorder="1" applyAlignment="1">
      <alignment horizontal="left" vertical="center"/>
    </xf>
    <xf numFmtId="0" fontId="7" fillId="2" borderId="59" xfId="6" applyFont="1" applyFill="1" applyBorder="1" applyAlignment="1">
      <alignment horizontal="center" vertical="center"/>
    </xf>
    <xf numFmtId="0" fontId="7" fillId="2" borderId="59" xfId="6" applyFont="1" applyFill="1" applyBorder="1" applyAlignment="1">
      <alignment horizontal="left" vertical="center"/>
    </xf>
    <xf numFmtId="0" fontId="3" fillId="2" borderId="59" xfId="6" applyFont="1" applyFill="1" applyBorder="1" applyAlignment="1">
      <alignment horizontal="left" vertical="center"/>
    </xf>
    <xf numFmtId="1" fontId="3" fillId="2" borderId="59" xfId="6" applyNumberFormat="1" applyFont="1" applyFill="1" applyBorder="1" applyAlignment="1">
      <alignment horizontal="left" vertical="center"/>
    </xf>
    <xf numFmtId="0" fontId="6" fillId="2" borderId="59" xfId="6" applyFont="1" applyFill="1" applyBorder="1" applyAlignment="1">
      <alignment horizontal="center" vertical="center"/>
    </xf>
    <xf numFmtId="14" fontId="17" fillId="2" borderId="59" xfId="7" applyNumberFormat="1" applyFill="1" applyBorder="1" applyAlignment="1">
      <alignment horizontal="center" vertical="center"/>
    </xf>
    <xf numFmtId="0" fontId="7" fillId="2" borderId="59" xfId="6" applyFont="1" applyFill="1" applyBorder="1" applyAlignment="1">
      <alignment horizontal="left" vertical="center" wrapText="1"/>
    </xf>
    <xf numFmtId="0" fontId="4" fillId="2" borderId="59" xfId="6" applyFont="1" applyFill="1" applyBorder="1" applyAlignment="1">
      <alignment vertical="center"/>
    </xf>
    <xf numFmtId="14" fontId="17" fillId="2" borderId="59" xfId="7" applyNumberFormat="1" applyFill="1" applyBorder="1" applyAlignment="1">
      <alignment horizontal="left"/>
    </xf>
    <xf numFmtId="14" fontId="6" fillId="2" borderId="59" xfId="6" applyNumberFormat="1" applyFont="1" applyFill="1" applyBorder="1" applyAlignment="1">
      <alignment horizontal="left" vertical="center"/>
    </xf>
    <xf numFmtId="0" fontId="3" fillId="2" borderId="0" xfId="6" applyFont="1" applyFill="1" applyAlignment="1">
      <alignment vertical="center"/>
    </xf>
    <xf numFmtId="0" fontId="3" fillId="2" borderId="0" xfId="6" applyFont="1" applyFill="1" applyAlignment="1">
      <alignment horizontal="center" vertical="center"/>
    </xf>
    <xf numFmtId="49" fontId="3" fillId="2" borderId="59" xfId="6" applyNumberFormat="1" applyFont="1" applyFill="1" applyBorder="1" applyAlignment="1">
      <alignment horizontal="center" vertical="center"/>
    </xf>
    <xf numFmtId="0" fontId="3" fillId="2" borderId="59" xfId="6" applyFont="1" applyFill="1" applyBorder="1" applyAlignment="1">
      <alignment vertical="center"/>
    </xf>
    <xf numFmtId="14" fontId="3" fillId="2" borderId="59" xfId="6" applyNumberFormat="1" applyFont="1" applyFill="1" applyBorder="1" applyAlignment="1">
      <alignment horizontal="left" vertical="center"/>
    </xf>
    <xf numFmtId="0" fontId="24" fillId="2" borderId="59" xfId="6" applyFont="1" applyFill="1" applyBorder="1" applyAlignment="1">
      <alignment horizontal="center" vertical="center"/>
    </xf>
    <xf numFmtId="14" fontId="17" fillId="2" borderId="59" xfId="7" applyNumberFormat="1" applyFill="1" applyBorder="1" applyAlignment="1">
      <alignment horizontal="left" vertical="center"/>
    </xf>
    <xf numFmtId="14" fontId="4" fillId="2" borderId="59" xfId="6" applyNumberFormat="1" applyFont="1" applyFill="1" applyBorder="1" applyAlignment="1">
      <alignment horizontal="left" vertical="center"/>
    </xf>
    <xf numFmtId="14" fontId="3" fillId="2" borderId="59" xfId="6" applyNumberFormat="1" applyFont="1" applyFill="1" applyBorder="1" applyAlignment="1">
      <alignment horizontal="center" vertical="center"/>
    </xf>
    <xf numFmtId="0" fontId="4" fillId="2" borderId="59" xfId="6" applyFont="1" applyFill="1" applyBorder="1" applyAlignment="1">
      <alignment horizontal="center" vertical="center"/>
    </xf>
    <xf numFmtId="14" fontId="6" fillId="2" borderId="59" xfId="6" applyNumberFormat="1" applyFont="1" applyFill="1" applyBorder="1" applyAlignment="1">
      <alignment horizontal="center" vertical="center"/>
    </xf>
    <xf numFmtId="0" fontId="3" fillId="2" borderId="63" xfId="6" applyFont="1" applyFill="1" applyBorder="1" applyAlignment="1">
      <alignment horizontal="left" vertical="center"/>
    </xf>
    <xf numFmtId="0" fontId="0" fillId="2" borderId="59" xfId="0" applyFill="1" applyBorder="1" applyAlignment="1">
      <alignment horizontal="center"/>
    </xf>
    <xf numFmtId="14" fontId="6" fillId="2" borderId="64" xfId="6" applyNumberFormat="1" applyFont="1" applyFill="1" applyBorder="1" applyAlignment="1">
      <alignment horizontal="left" vertical="center"/>
    </xf>
    <xf numFmtId="0" fontId="0" fillId="2" borderId="0" xfId="0" applyFill="1"/>
    <xf numFmtId="3" fontId="3" fillId="2" borderId="59" xfId="6" applyNumberFormat="1" applyFont="1" applyFill="1" applyBorder="1" applyAlignment="1">
      <alignment horizontal="left" vertical="center"/>
    </xf>
    <xf numFmtId="0" fontId="7" fillId="0" borderId="59" xfId="6" applyFont="1" applyBorder="1" applyAlignment="1">
      <alignment horizontal="center" vertical="center" wrapText="1"/>
    </xf>
    <xf numFmtId="14" fontId="17" fillId="0" borderId="59" xfId="7" applyNumberFormat="1" applyFill="1" applyBorder="1" applyAlignment="1">
      <alignment horizontal="center" vertical="center" wrapText="1"/>
    </xf>
    <xf numFmtId="164" fontId="7" fillId="0" borderId="62" xfId="6" applyNumberFormat="1" applyFont="1" applyBorder="1" applyAlignment="1">
      <alignment horizontal="center" vertical="center"/>
    </xf>
    <xf numFmtId="0" fontId="6" fillId="11" borderId="6" xfId="6" applyFont="1" applyFill="1" applyBorder="1" applyAlignment="1">
      <alignment horizontal="center" vertical="center"/>
    </xf>
    <xf numFmtId="0" fontId="7" fillId="0" borderId="60" xfId="6" applyFont="1" applyBorder="1" applyAlignment="1">
      <alignment horizontal="center" vertical="center" wrapText="1"/>
    </xf>
    <xf numFmtId="0" fontId="3" fillId="0" borderId="60" xfId="6" applyFont="1" applyBorder="1" applyAlignment="1">
      <alignment horizontal="center" vertical="center"/>
    </xf>
    <xf numFmtId="0" fontId="3" fillId="0" borderId="62" xfId="6" applyFont="1" applyBorder="1" applyAlignment="1">
      <alignment vertical="center"/>
    </xf>
    <xf numFmtId="0" fontId="4" fillId="11" borderId="4" xfId="6" applyFont="1" applyFill="1" applyBorder="1" applyAlignment="1">
      <alignment horizontal="center" vertical="center" wrapText="1"/>
    </xf>
    <xf numFmtId="14" fontId="17" fillId="0" borderId="59" xfId="7" applyNumberFormat="1" applyFill="1" applyBorder="1" applyAlignment="1">
      <alignment vertical="center"/>
    </xf>
    <xf numFmtId="14" fontId="17" fillId="0" borderId="59" xfId="7" applyNumberFormat="1" applyFill="1" applyBorder="1" applyAlignment="1">
      <alignment horizontal="left" vertical="center" wrapText="1"/>
    </xf>
    <xf numFmtId="164" fontId="7" fillId="2" borderId="62" xfId="6" applyNumberFormat="1" applyFont="1" applyFill="1" applyBorder="1" applyAlignment="1">
      <alignment horizontal="center" vertical="center"/>
    </xf>
    <xf numFmtId="14" fontId="17" fillId="2" borderId="59" xfId="7" applyNumberFormat="1" applyFill="1" applyBorder="1" applyAlignment="1">
      <alignment horizontal="center" vertical="center" wrapText="1"/>
    </xf>
    <xf numFmtId="14" fontId="3" fillId="2" borderId="0" xfId="6" applyNumberFormat="1" applyFont="1" applyFill="1" applyAlignment="1">
      <alignment vertical="center"/>
    </xf>
    <xf numFmtId="14" fontId="17" fillId="2" borderId="59" xfId="7" applyNumberFormat="1" applyFill="1" applyBorder="1" applyAlignment="1">
      <alignment horizontal="center"/>
    </xf>
    <xf numFmtId="0" fontId="7" fillId="2" borderId="59" xfId="6" applyFont="1" applyFill="1" applyBorder="1" applyAlignment="1">
      <alignment horizontal="center" vertical="center" wrapText="1"/>
    </xf>
    <xf numFmtId="14" fontId="17" fillId="2" borderId="0" xfId="7" applyNumberFormat="1" applyFill="1" applyBorder="1" applyAlignment="1">
      <alignment horizontal="left"/>
    </xf>
    <xf numFmtId="165" fontId="6" fillId="2" borderId="61" xfId="6" applyNumberFormat="1" applyFont="1" applyFill="1" applyBorder="1" applyAlignment="1">
      <alignment horizontal="left" vertical="center"/>
    </xf>
    <xf numFmtId="0" fontId="7" fillId="2" borderId="60" xfId="6" applyFont="1" applyFill="1" applyBorder="1" applyAlignment="1">
      <alignment horizontal="center" vertical="center" wrapText="1"/>
    </xf>
    <xf numFmtId="0" fontId="6" fillId="2" borderId="62" xfId="6" applyFont="1" applyFill="1" applyBorder="1" applyAlignment="1">
      <alignment horizontal="left" vertical="center"/>
    </xf>
    <xf numFmtId="0" fontId="3" fillId="0" borderId="62" xfId="6" applyFont="1" applyBorder="1" applyAlignment="1">
      <alignment horizontal="center" vertical="center"/>
    </xf>
    <xf numFmtId="14" fontId="17" fillId="0" borderId="60" xfId="7" applyNumberFormat="1" applyFill="1" applyBorder="1" applyAlignment="1">
      <alignment horizontal="center" vertical="center" wrapText="1"/>
    </xf>
    <xf numFmtId="0" fontId="4" fillId="11" borderId="33" xfId="6" applyFont="1" applyFill="1" applyBorder="1" applyAlignment="1">
      <alignment horizontal="center" vertical="center" wrapText="1"/>
    </xf>
    <xf numFmtId="0" fontId="27" fillId="0" borderId="59" xfId="6" applyFont="1" applyBorder="1" applyAlignment="1">
      <alignment horizontal="center" vertical="center"/>
    </xf>
    <xf numFmtId="0" fontId="5" fillId="0" borderId="0" xfId="0" applyFont="1"/>
    <xf numFmtId="0" fontId="7" fillId="0" borderId="68" xfId="6" applyFont="1" applyBorder="1" applyAlignment="1">
      <alignment horizontal="center" vertical="center" wrapText="1"/>
    </xf>
    <xf numFmtId="0" fontId="6" fillId="11" borderId="4" xfId="6" applyFont="1" applyFill="1" applyBorder="1" applyAlignment="1">
      <alignment horizontal="center" vertical="center"/>
    </xf>
    <xf numFmtId="0" fontId="4" fillId="11" borderId="4" xfId="6" applyFont="1" applyFill="1" applyBorder="1" applyAlignment="1">
      <alignment horizontal="center" vertical="center"/>
    </xf>
    <xf numFmtId="14" fontId="7" fillId="0" borderId="68" xfId="6" applyNumberFormat="1" applyFont="1" applyBorder="1" applyAlignment="1">
      <alignment horizontal="center" vertical="center"/>
    </xf>
    <xf numFmtId="0" fontId="4" fillId="11" borderId="77" xfId="0" applyFont="1" applyFill="1" applyBorder="1" applyAlignment="1">
      <alignment horizontal="center" vertical="center" wrapText="1"/>
    </xf>
    <xf numFmtId="0" fontId="6" fillId="11" borderId="9" xfId="6" applyFont="1" applyFill="1" applyBorder="1" applyAlignment="1">
      <alignment horizontal="center" vertical="center"/>
    </xf>
    <xf numFmtId="0" fontId="6" fillId="11" borderId="20" xfId="6" applyFont="1" applyFill="1" applyBorder="1" applyAlignment="1">
      <alignment horizontal="center" vertical="center"/>
    </xf>
    <xf numFmtId="0" fontId="6" fillId="11" borderId="29" xfId="6" applyFont="1" applyFill="1" applyBorder="1" applyAlignment="1">
      <alignment horizontal="center" vertical="center"/>
    </xf>
    <xf numFmtId="0" fontId="6" fillId="11" borderId="31" xfId="6" applyFont="1" applyFill="1" applyBorder="1" applyAlignment="1">
      <alignment horizontal="center" vertical="center"/>
    </xf>
    <xf numFmtId="0" fontId="6" fillId="11" borderId="35" xfId="6" applyFont="1" applyFill="1" applyBorder="1" applyAlignment="1">
      <alignment horizontal="center" vertical="center"/>
    </xf>
    <xf numFmtId="0" fontId="6" fillId="11" borderId="7" xfId="6" applyFont="1" applyFill="1" applyBorder="1" applyAlignment="1">
      <alignment horizontal="center" vertical="center"/>
    </xf>
    <xf numFmtId="0" fontId="4" fillId="11" borderId="8" xfId="6" applyFont="1" applyFill="1" applyBorder="1" applyAlignment="1">
      <alignment horizontal="center" vertical="center"/>
    </xf>
    <xf numFmtId="165" fontId="3" fillId="0" borderId="68" xfId="6" applyNumberFormat="1" applyFont="1" applyBorder="1" applyAlignment="1">
      <alignment horizontal="left" vertical="center"/>
    </xf>
    <xf numFmtId="14" fontId="17" fillId="0" borderId="68" xfId="7" applyNumberFormat="1" applyFill="1" applyBorder="1" applyAlignment="1">
      <alignment horizontal="center" vertical="center" wrapText="1"/>
    </xf>
    <xf numFmtId="165" fontId="3" fillId="0" borderId="59" xfId="6" applyNumberFormat="1" applyFont="1" applyBorder="1" applyAlignment="1">
      <alignment horizontal="left" vertical="center"/>
    </xf>
    <xf numFmtId="165" fontId="7" fillId="0" borderId="59" xfId="6" applyNumberFormat="1" applyFont="1" applyBorder="1" applyAlignment="1">
      <alignment horizontal="left" vertical="center"/>
    </xf>
    <xf numFmtId="0" fontId="5" fillId="0" borderId="59" xfId="0" applyFont="1" applyBorder="1" applyAlignment="1">
      <alignment horizontal="center"/>
    </xf>
    <xf numFmtId="0" fontId="17" fillId="0" borderId="59" xfId="7" applyBorder="1"/>
    <xf numFmtId="0" fontId="17" fillId="0" borderId="0" xfId="7" applyFill="1"/>
    <xf numFmtId="0" fontId="4" fillId="11" borderId="7" xfId="6" applyFont="1" applyFill="1" applyBorder="1" applyAlignment="1">
      <alignment horizontal="center" vertical="center" wrapText="1"/>
    </xf>
    <xf numFmtId="0" fontId="4" fillId="11" borderId="8" xfId="6" applyFont="1" applyFill="1" applyBorder="1" applyAlignment="1">
      <alignment horizontal="center" vertical="center" wrapText="1"/>
    </xf>
    <xf numFmtId="0" fontId="3" fillId="0" borderId="6" xfId="6" applyFont="1" applyBorder="1" applyAlignment="1">
      <alignment horizontal="left" vertical="top" wrapText="1"/>
    </xf>
    <xf numFmtId="0" fontId="3" fillId="0" borderId="7" xfId="6" applyFont="1" applyBorder="1" applyAlignment="1">
      <alignment horizontal="left" vertical="top" wrapText="1"/>
    </xf>
    <xf numFmtId="0" fontId="4" fillId="11" borderId="6" xfId="6" applyFont="1" applyFill="1" applyBorder="1" applyAlignment="1">
      <alignment horizontal="center" vertical="center" wrapText="1"/>
    </xf>
    <xf numFmtId="0" fontId="4" fillId="11" borderId="73" xfId="0" applyFont="1" applyFill="1" applyBorder="1" applyAlignment="1">
      <alignment horizontal="center" vertical="center" wrapText="1"/>
    </xf>
    <xf numFmtId="0" fontId="4" fillId="11" borderId="77" xfId="0" applyFont="1" applyFill="1" applyBorder="1" applyAlignment="1">
      <alignment horizontal="center" vertical="center" wrapText="1"/>
    </xf>
    <xf numFmtId="0" fontId="4" fillId="11" borderId="75" xfId="0" applyFont="1" applyFill="1" applyBorder="1" applyAlignment="1">
      <alignment horizontal="center" vertical="center" wrapText="1"/>
    </xf>
    <xf numFmtId="0" fontId="4" fillId="11" borderId="78" xfId="0" applyFont="1" applyFill="1" applyBorder="1" applyAlignment="1">
      <alignment horizontal="center" vertical="center" wrapText="1"/>
    </xf>
    <xf numFmtId="0" fontId="4" fillId="11" borderId="27" xfId="0" applyFont="1" applyFill="1" applyBorder="1" applyAlignment="1">
      <alignment horizontal="center" vertical="center" wrapText="1"/>
    </xf>
    <xf numFmtId="0" fontId="4" fillId="11" borderId="6" xfId="0" applyFont="1" applyFill="1" applyBorder="1" applyAlignment="1">
      <alignment horizontal="center" vertical="center" wrapText="1"/>
    </xf>
    <xf numFmtId="0" fontId="4" fillId="11" borderId="7" xfId="0" applyFont="1" applyFill="1" applyBorder="1" applyAlignment="1">
      <alignment horizontal="center" vertical="center" wrapText="1"/>
    </xf>
    <xf numFmtId="0" fontId="4" fillId="11" borderId="8" xfId="0" applyFont="1" applyFill="1" applyBorder="1" applyAlignment="1">
      <alignment horizontal="center" vertical="center" wrapText="1"/>
    </xf>
    <xf numFmtId="0" fontId="4" fillId="11" borderId="9" xfId="6" applyFont="1" applyFill="1" applyBorder="1" applyAlignment="1">
      <alignment horizontal="center" vertical="center" wrapText="1"/>
    </xf>
    <xf numFmtId="0" fontId="4" fillId="11" borderId="10" xfId="6" applyFont="1" applyFill="1" applyBorder="1" applyAlignment="1">
      <alignment horizontal="center" vertical="center" wrapText="1"/>
    </xf>
    <xf numFmtId="0" fontId="4" fillId="11" borderId="71" xfId="6" applyFont="1" applyFill="1" applyBorder="1" applyAlignment="1">
      <alignment horizontal="center" vertical="center" wrapText="1"/>
    </xf>
    <xf numFmtId="0" fontId="3" fillId="0" borderId="59" xfId="6" applyFont="1" applyBorder="1" applyAlignment="1">
      <alignment horizontal="center" vertical="center"/>
    </xf>
    <xf numFmtId="0" fontId="27" fillId="0" borderId="59" xfId="6" applyFont="1" applyBorder="1" applyAlignment="1">
      <alignment horizontal="center" vertical="center"/>
    </xf>
    <xf numFmtId="0" fontId="4" fillId="0" borderId="59" xfId="6" applyFont="1" applyBorder="1" applyAlignment="1">
      <alignment horizontal="center" vertical="center" wrapText="1"/>
    </xf>
    <xf numFmtId="0" fontId="4" fillId="0" borderId="59" xfId="6" applyFont="1" applyBorder="1" applyAlignment="1">
      <alignment horizontal="center" vertical="center"/>
    </xf>
    <xf numFmtId="0" fontId="4" fillId="11" borderId="72" xfId="0" applyFont="1" applyFill="1" applyBorder="1" applyAlignment="1">
      <alignment horizontal="center" vertical="center" wrapText="1"/>
    </xf>
    <xf numFmtId="0" fontId="4" fillId="11" borderId="76" xfId="0" applyFont="1" applyFill="1" applyBorder="1" applyAlignment="1">
      <alignment horizontal="center" vertical="center" wrapText="1"/>
    </xf>
    <xf numFmtId="0" fontId="4" fillId="11" borderId="74" xfId="0" applyFont="1" applyFill="1" applyBorder="1" applyAlignment="1">
      <alignment horizontal="center" vertical="center" wrapText="1"/>
    </xf>
    <xf numFmtId="0" fontId="4" fillId="11" borderId="19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59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4" borderId="27" xfId="0" applyFont="1" applyFill="1" applyBorder="1" applyAlignment="1">
      <alignment horizontal="center" vertical="center" wrapText="1"/>
    </xf>
    <xf numFmtId="0" fontId="4" fillId="4" borderId="2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 wrapText="1"/>
    </xf>
    <xf numFmtId="0" fontId="4" fillId="4" borderId="24" xfId="0" applyFont="1" applyFill="1" applyBorder="1" applyAlignment="1">
      <alignment horizontal="center" vertical="center" wrapText="1"/>
    </xf>
    <xf numFmtId="0" fontId="4" fillId="4" borderId="37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38" xfId="0" applyFont="1" applyFill="1" applyBorder="1" applyAlignment="1">
      <alignment horizontal="center" vertical="center" wrapText="1"/>
    </xf>
    <xf numFmtId="0" fontId="4" fillId="4" borderId="39" xfId="0" applyFont="1" applyFill="1" applyBorder="1" applyAlignment="1">
      <alignment horizontal="center" vertical="center" wrapText="1"/>
    </xf>
    <xf numFmtId="0" fontId="4" fillId="11" borderId="11" xfId="0" applyFont="1" applyFill="1" applyBorder="1" applyAlignment="1">
      <alignment horizontal="center" vertical="center" wrapText="1"/>
    </xf>
    <xf numFmtId="0" fontId="4" fillId="11" borderId="69" xfId="0" applyFont="1" applyFill="1" applyBorder="1" applyAlignment="1">
      <alignment horizontal="center" vertical="center" wrapText="1"/>
    </xf>
    <xf numFmtId="0" fontId="4" fillId="11" borderId="3" xfId="0" applyFont="1" applyFill="1" applyBorder="1" applyAlignment="1">
      <alignment horizontal="center" vertical="center" wrapText="1"/>
    </xf>
    <xf numFmtId="49" fontId="4" fillId="11" borderId="3" xfId="0" applyNumberFormat="1" applyFont="1" applyFill="1" applyBorder="1" applyAlignment="1">
      <alignment horizontal="center" vertical="center" wrapText="1"/>
    </xf>
    <xf numFmtId="49" fontId="4" fillId="11" borderId="11" xfId="0" applyNumberFormat="1" applyFont="1" applyFill="1" applyBorder="1" applyAlignment="1">
      <alignment horizontal="center" vertical="center" wrapText="1"/>
    </xf>
    <xf numFmtId="0" fontId="4" fillId="11" borderId="24" xfId="0" applyFont="1" applyFill="1" applyBorder="1" applyAlignment="1">
      <alignment horizontal="center" vertical="center" wrapText="1"/>
    </xf>
    <xf numFmtId="0" fontId="4" fillId="11" borderId="37" xfId="0" applyFont="1" applyFill="1" applyBorder="1" applyAlignment="1">
      <alignment horizontal="center" vertical="center" wrapText="1"/>
    </xf>
    <xf numFmtId="0" fontId="4" fillId="11" borderId="50" xfId="0" applyFont="1" applyFill="1" applyBorder="1" applyAlignment="1">
      <alignment horizontal="center" vertical="center" wrapText="1"/>
    </xf>
    <xf numFmtId="0" fontId="4" fillId="11" borderId="49" xfId="0" applyFont="1" applyFill="1" applyBorder="1" applyAlignment="1">
      <alignment horizontal="center" vertical="center" wrapText="1"/>
    </xf>
    <xf numFmtId="0" fontId="4" fillId="11" borderId="33" xfId="0" applyFont="1" applyFill="1" applyBorder="1" applyAlignment="1">
      <alignment horizontal="center" vertical="center" wrapText="1"/>
    </xf>
    <xf numFmtId="0" fontId="4" fillId="0" borderId="0" xfId="6" applyFont="1" applyBorder="1" applyAlignment="1">
      <alignment horizontal="center" vertical="center" wrapText="1"/>
    </xf>
    <xf numFmtId="0" fontId="4" fillId="0" borderId="0" xfId="6" applyFont="1" applyBorder="1" applyAlignment="1">
      <alignment horizontal="center" vertical="center"/>
    </xf>
    <xf numFmtId="14" fontId="11" fillId="0" borderId="4" xfId="6" applyNumberFormat="1" applyFont="1" applyBorder="1" applyAlignment="1">
      <alignment vertical="center" wrapText="1"/>
    </xf>
  </cellXfs>
  <cellStyles count="9">
    <cellStyle name="Hipervínculo" xfId="7" builtinId="8"/>
    <cellStyle name="Normal" xfId="0" builtinId="0"/>
    <cellStyle name="Normal 2" xfId="3" xr:uid="{00000000-0005-0000-0000-000002000000}"/>
    <cellStyle name="Normal 2 2" xfId="1" xr:uid="{00000000-0005-0000-0000-000003000000}"/>
    <cellStyle name="Normal 2 2 2" xfId="4" xr:uid="{00000000-0005-0000-0000-000004000000}"/>
    <cellStyle name="Normal 3" xfId="2" xr:uid="{00000000-0005-0000-0000-000005000000}"/>
    <cellStyle name="Normal 4" xfId="5" xr:uid="{00000000-0005-0000-0000-000006000000}"/>
    <cellStyle name="Normal 5" xfId="6" xr:uid="{00000000-0005-0000-0000-000007000000}"/>
    <cellStyle name="Normal 6" xfId="8" xr:uid="{00000000-0005-0000-0000-000008000000}"/>
  </cellStyles>
  <dxfs count="0"/>
  <tableStyles count="0" defaultTableStyle="TableStyleMedium9" defaultPivotStyle="PivotStyleLight16"/>
  <colors>
    <mruColors>
      <color rgb="FF99FF99"/>
      <color rgb="FF1847B0"/>
      <color rgb="FF2D65E3"/>
      <color rgb="FF1D7EF3"/>
      <color rgb="FFCCFFFF"/>
      <color rgb="FFCCECFF"/>
      <color rgb="FF99FFCC"/>
      <color rgb="FF99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105833</xdr:colOff>
      <xdr:row>0</xdr:row>
      <xdr:rowOff>35278</xdr:rowOff>
    </xdr:from>
    <xdr:to>
      <xdr:col>1</xdr:col>
      <xdr:colOff>506377</xdr:colOff>
      <xdr:row>2</xdr:row>
      <xdr:rowOff>101953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33" y="35278"/>
          <a:ext cx="924419" cy="457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file:///C:\Users\coordinadorhseq\AppData\Local\Microsoft\Windows\INetCache\Content.Outlook\1JT4WC0O\01)%20RRHH\PEREZ%20GUSTAVO%20FLORENCIO\Ex.%20periodico%20Perez%20Vto%2011-12-2024.pdf" TargetMode="External"/><Relationship Id="rId21" Type="http://schemas.openxmlformats.org/officeDocument/2006/relationships/hyperlink" Target="file:///C:\Users\coordinadorhseq\AppData\Local\Microsoft\Windows\INetCache\Content.Outlook\1JT4WC0O\01)%20RRHH\PEREZ%20GUSTAVO%20FLORENCIO\Lic.%20Conducir%20VTo%2014-08-2025.pdf" TargetMode="External"/><Relationship Id="rId42" Type="http://schemas.openxmlformats.org/officeDocument/2006/relationships/hyperlink" Target="file:///C:\Users\coordinadorhseq\AppData\Local\Microsoft\Windows\INetCache\Content.Outlook\1JT4WC0O\01)%20RRHH\COSTALLAT%20ARIEL\MD%20VTO%2003-10-2025.pdf" TargetMode="External"/><Relationship Id="rId63" Type="http://schemas.openxmlformats.org/officeDocument/2006/relationships/hyperlink" Target="file:///C:\Users\coordinadorhseq\AppData\Local\Microsoft\Windows\INetCache\Content.Outlook\1JT4WC0O\01)%20RRHH\ECHANIZ%20MARCO%20DANIEL\Linti%20cargas%20generales%20%20Vto%2015-7-25.pdf" TargetMode="External"/><Relationship Id="rId84" Type="http://schemas.openxmlformats.org/officeDocument/2006/relationships/hyperlink" Target="file:///C:\Users\coordinadorhseq\AppData\Local\Microsoft\Windows\INetCache\Content.Outlook\1JT4WC0O\01)%20RRHH\BORQUEZ%20LUCAS%20JAVIER\LINTI.pdf" TargetMode="External"/><Relationship Id="rId138" Type="http://schemas.openxmlformats.org/officeDocument/2006/relationships/hyperlink" Target="mailto:almodani.3@gmail.com" TargetMode="External"/><Relationship Id="rId159" Type="http://schemas.openxmlformats.org/officeDocument/2006/relationships/hyperlink" Target="mailto:alan.berrocal@gruponaser.com.ar" TargetMode="External"/><Relationship Id="rId170" Type="http://schemas.openxmlformats.org/officeDocument/2006/relationships/printerSettings" Target="../printerSettings/printerSettings1.bin"/><Relationship Id="rId107" Type="http://schemas.openxmlformats.org/officeDocument/2006/relationships/hyperlink" Target="file:///C:\Users\coordinadorhseq\AppData\Local\Microsoft\Windows\INetCache\Content.Outlook\1JT4WC0O\01)%20RRHH\ECHANIZ%20MARCO%20DANIEL\Ex.%20Periodico%20VTO%2017-01-2025.pdf" TargetMode="External"/><Relationship Id="rId11" Type="http://schemas.openxmlformats.org/officeDocument/2006/relationships/hyperlink" Target="file:///C:\Users\coordinadorhseq\AppData\Local\Microsoft\Windows\INetCache\Content.Outlook\1JT4WC0O\01)%20RRHH\BASOALTO,%20Juan%20Manuel\MD%20Vto%2005-03-2027.pdf" TargetMode="External"/><Relationship Id="rId32" Type="http://schemas.openxmlformats.org/officeDocument/2006/relationships/hyperlink" Target="file:///C:\Users\cjara\AppData\Roaming\Microsoft\Excel\01)%20RRHH\VECE,IGNACIO%20MARTIN\Lic.%20Cargas%20generales%20Vto%2005-12-2023.pdf" TargetMode="External"/><Relationship Id="rId53" Type="http://schemas.openxmlformats.org/officeDocument/2006/relationships/hyperlink" Target="file:///C:\Users\coordinadorhseq\AppData\Local\Microsoft\Windows\INetCache\Content.Outlook\1JT4WC0O\01)%20RRHH\BERROCAL%20ALAN%20ALBERTO\Linti%20Psicofisico%20Vto%2004-05-2025.pdf" TargetMode="External"/><Relationship Id="rId74" Type="http://schemas.openxmlformats.org/officeDocument/2006/relationships/hyperlink" Target="file:///C:\Users\coordinadorhseq\AppData\Local\Microsoft\Windows\INetCache\Content.Outlook\1JT4WC0O\01)%20RRHH\ALMONACID%20NORIEGA%20DANIEL\Curso%20de%20torque%20vto%2020-8-2025.pdf" TargetMode="External"/><Relationship Id="rId128" Type="http://schemas.openxmlformats.org/officeDocument/2006/relationships/hyperlink" Target="mailto:diegonqn.m@gmail.com" TargetMode="External"/><Relationship Id="rId149" Type="http://schemas.openxmlformats.org/officeDocument/2006/relationships/hyperlink" Target="mailto:gustavo.perez@gruponaser.com.ar" TargetMode="External"/><Relationship Id="rId5" Type="http://schemas.openxmlformats.org/officeDocument/2006/relationships/hyperlink" Target="file:///C:\Users\cjara\AppData\Roaming\Microsoft\Excel\01)%20RRHH\PERALTA%20JAVIER\MD%20VTO%2024-01-25.pdf" TargetMode="External"/><Relationship Id="rId95" Type="http://schemas.openxmlformats.org/officeDocument/2006/relationships/hyperlink" Target="file:///C:\Users\coordinadorhseq\AppData\Local\Microsoft\Windows\INetCache\Content.Outlook\1JT4WC0O\01)%20RRHH\SAMPIETRO%20VANINA%20SOLEDAD\Periodico%20Vto%207-12-2024.pdf" TargetMode="External"/><Relationship Id="rId160" Type="http://schemas.openxmlformats.org/officeDocument/2006/relationships/hyperlink" Target="mailto:alejandro.castro@gruponaser.com.ar" TargetMode="External"/><Relationship Id="rId22" Type="http://schemas.openxmlformats.org/officeDocument/2006/relationships/hyperlink" Target="file:///C:\Users\coordinadorhseq\AppData\Local\Microsoft\Windows\INetCache\Content.Outlook\1JT4WC0O\01)%20RRHH\DE%20CROCE%20MIGUEL%20ANGEL\Lic.%20de%20conducir%20VTO%2018-07-2026.pdf" TargetMode="External"/><Relationship Id="rId43" Type="http://schemas.openxmlformats.org/officeDocument/2006/relationships/hyperlink" Target="file:///C:\Users\coordinadorhseq\AppData\Local\Microsoft\Windows\INetCache\Content.Outlook\1JT4WC0O\01)%20RRHH\BERROCAL%20ALAN%20ALBERTO\linti%20Cargas%20Grales%20Vto%2028-10-2025.pdf" TargetMode="External"/><Relationship Id="rId64" Type="http://schemas.openxmlformats.org/officeDocument/2006/relationships/hyperlink" Target="file:///C:\Users\coordinadorhseq\AppData\Local\Microsoft\Windows\INetCache\Content.Outlook\1JT4WC0O\01)%20RRHH\ECHANIZ%20MARCO%20DANIEL\linti.jpg" TargetMode="External"/><Relationship Id="rId118" Type="http://schemas.openxmlformats.org/officeDocument/2006/relationships/hyperlink" Target="file:///C:\Users\coordinadorhseq\AppData\Local\Microsoft\Windows\INetCache\Content.Outlook\1JT4WC0O\01)%20RRHH\PERALTA%20JAVIER\Ex%20Medico%20Vto%2005-08-2025.pdf" TargetMode="External"/><Relationship Id="rId139" Type="http://schemas.openxmlformats.org/officeDocument/2006/relationships/hyperlink" Target="mailto:juan.basoalto@gruponaser.com.ar" TargetMode="External"/><Relationship Id="rId85" Type="http://schemas.openxmlformats.org/officeDocument/2006/relationships/hyperlink" Target="file:///C:\Users\coordinadorhseq\AppData\Local\Microsoft\Windows\INetCache\Content.Outlook\1JT4WC0O\01)%20RRHH\BELIZON%20JUAN%20ANDRES\cursos\BELIZON,%20JUAN%20ANDRES%20Well%20Control.pdf" TargetMode="External"/><Relationship Id="rId150" Type="http://schemas.openxmlformats.org/officeDocument/2006/relationships/hyperlink" Target="mailto:ignacio.vece@gruponaser.com.ar" TargetMode="External"/><Relationship Id="rId171" Type="http://schemas.openxmlformats.org/officeDocument/2006/relationships/drawing" Target="../drawings/drawing1.xml"/><Relationship Id="rId12" Type="http://schemas.openxmlformats.org/officeDocument/2006/relationships/hyperlink" Target="file:///C:\Users\coordinadorhseq\AppData\Local\Microsoft\Windows\INetCache\Content.Outlook\1JT4WC0O\01)%20RRHH\DOMINGUEZ,%20Roque%20Mariano\MD%20Vto%2028-02-2027.pdf" TargetMode="External"/><Relationship Id="rId33" Type="http://schemas.openxmlformats.org/officeDocument/2006/relationships/hyperlink" Target="file:///C:\Users\coordinadorhseq\AppData\Local\Microsoft\Windows\INetCache\Content.Outlook\1JT4WC0O\01)%20RRHH\PEREZ%20GUSTAVO%20FLORENCIO\linti.pdf" TargetMode="External"/><Relationship Id="rId108" Type="http://schemas.openxmlformats.org/officeDocument/2006/relationships/hyperlink" Target="file:///C:\Users\coordinadorhseq\AppData\Local\Microsoft\Windows\INetCache\Content.Outlook\1JT4WC0O\01)%20RRHH\LAGOS%20RODRIGO\Periodico%20Lagos%20VTO%2005-08-2025.pdf" TargetMode="External"/><Relationship Id="rId129" Type="http://schemas.openxmlformats.org/officeDocument/2006/relationships/hyperlink" Target="mailto:diego.espeche@live.com" TargetMode="External"/><Relationship Id="rId54" Type="http://schemas.openxmlformats.org/officeDocument/2006/relationships/hyperlink" Target="file:///C:\Users\coordinadorhseq\AppData\Local\Microsoft\Windows\INetCache\Content.Outlook\1JT4WC0O\01)%20RRHH\PEREZ%20GUSTAVO%20FLORENCIO\linti.pdf" TargetMode="External"/><Relationship Id="rId75" Type="http://schemas.openxmlformats.org/officeDocument/2006/relationships/hyperlink" Target="file:///C:\Users\coordinadorhseq\AppData\Local\Microsoft\Windows\INetCache\Content.Outlook\1JT4WC0O\01)%20RRHH\DE%20CROCE%20MIGUEL%20ANGEL\Curso%20de%20torque%20vto%2020-8-2025.pdf" TargetMode="External"/><Relationship Id="rId96" Type="http://schemas.openxmlformats.org/officeDocument/2006/relationships/hyperlink" Target="file:///C:\Users\coordinadorhseq\AppData\Local\Microsoft\Windows\INetCache\Content.Outlook\1JT4WC0O\01)%20RRHH\JARA%20CARINA%20NOEMI\Periodico%20Vto%206-12-2024.pdf" TargetMode="External"/><Relationship Id="rId140" Type="http://schemas.openxmlformats.org/officeDocument/2006/relationships/hyperlink" Target="mailto:maria.basoalto@eventosnaser.com.ar" TargetMode="External"/><Relationship Id="rId161" Type="http://schemas.openxmlformats.org/officeDocument/2006/relationships/hyperlink" Target="mailto:matias.mercado@gruponaser.com.ar" TargetMode="External"/><Relationship Id="rId1" Type="http://schemas.openxmlformats.org/officeDocument/2006/relationships/hyperlink" Target="file:///C:\Users\coordinadorhseq\AppData\Local\Microsoft\Windows\INetCache\Content.Outlook\1JT4WC0O\01)%20RRHH\LUCERO,%20WALTER%20RICARDO\Licencia%20de%20conducir%20VTO%2022-09-2025.pdf" TargetMode="External"/><Relationship Id="rId6" Type="http://schemas.openxmlformats.org/officeDocument/2006/relationships/hyperlink" Target="file:///C:\Users\cjara\AppData\Roaming\Microsoft\Excel\01)%20RRHH\SALASSA,%20Gerardo\MD%20vto%2024-01-2025.pdf" TargetMode="External"/><Relationship Id="rId23" Type="http://schemas.openxmlformats.org/officeDocument/2006/relationships/hyperlink" Target="file:///C:\Users\cjara\AppData\Roaming\Microsoft\Excel\01)%20RRHH\LAGOS%20RODRIGO\Licencia%20de%20conducir%20VTO%2022-11-2027.pdf" TargetMode="External"/><Relationship Id="rId28" Type="http://schemas.openxmlformats.org/officeDocument/2006/relationships/hyperlink" Target="file:///C:\Users\coordinadorhseq\AppData\Local\Microsoft\Windows\INetCache\Content.Outlook\1JT4WC0O\01)%20RRHH\LAGOS%20RODRIGO\linti.pdf" TargetMode="External"/><Relationship Id="rId49" Type="http://schemas.openxmlformats.org/officeDocument/2006/relationships/hyperlink" Target="file:///C:\Users\coordinadorhseq\AppData\Local\Microsoft\Windows\INetCache\Content.Outlook\1JT4WC0O\01)%20RRHH\LAGOS%20RODRIGO\Carnet%20Operador%20equipo%20de%20izaje%20Vto%2023-12-2025.pdf" TargetMode="External"/><Relationship Id="rId114" Type="http://schemas.openxmlformats.org/officeDocument/2006/relationships/hyperlink" Target="file:///C:\Users\coordinadorhseq\AppData\Local\Microsoft\Windows\INetCache\Content.Outlook\1JT4WC0O\01)%20RRHH\MORALES%20DIEGO%20CESAR\Ex.%20Periodico%20Vto%2015-01-2026.pdf" TargetMode="External"/><Relationship Id="rId119" Type="http://schemas.openxmlformats.org/officeDocument/2006/relationships/hyperlink" Target="file:///C:\Users\coordinadorhseq\AppData\Local\Microsoft\Windows\INetCache\Content.Outlook\1JT4WC0O\01)%20RRHH\BASOALTO,%20Juan%20Manuel\Periodico%20Basoalto%20VTO%2022-10-2025.pdf" TargetMode="External"/><Relationship Id="rId44" Type="http://schemas.openxmlformats.org/officeDocument/2006/relationships/hyperlink" Target="file:///C:\Users\coordinadorhseq\AppData\Local\Microsoft\Windows\INetCache\Content.Outlook\1JT4WC0O\01)%20RRHH\BERROCAL%20ALAN%20ALBERTO\Licencia%20de%20Conducir%20VTO%2019-08-2026.pdf" TargetMode="External"/><Relationship Id="rId60" Type="http://schemas.openxmlformats.org/officeDocument/2006/relationships/hyperlink" Target="file:///C:\Users\coordinadorhseq\AppData\Local\Microsoft\Windows\INetCache\Content.Outlook\1JT4WC0O\01)%20RRHH\MERCADO%20MATIAS%20SEBASTIAN\Linti.pdf" TargetMode="External"/><Relationship Id="rId65" Type="http://schemas.openxmlformats.org/officeDocument/2006/relationships/hyperlink" Target="file:///C:\Users\coordinadorhseq\AppData\Local\Microsoft\Windows\INetCache\Content.Outlook\1JT4WC0O\01)%20RRHH\MERCADO%20MATIAS%20SEBASTIAN\Lic%20Conducir%20VTO%2012-06-2025.pdf" TargetMode="External"/><Relationship Id="rId81" Type="http://schemas.openxmlformats.org/officeDocument/2006/relationships/hyperlink" Target="file:///C:\Users\coordinadorhseq\AppData\Local\Microsoft\Windows\INetCache\Content.Outlook\1JT4WC0O\01)%20RRHH\MEDEL,%20Sergio\Certificado%20Curso%20de%20Torque.pdf" TargetMode="External"/><Relationship Id="rId86" Type="http://schemas.openxmlformats.org/officeDocument/2006/relationships/hyperlink" Target="file:///C:\Users\coordinadorhseq\AppData\Local\Microsoft\Windows\INetCache\Content.Outlook\1JT4WC0O\01)%20RRHH\BERMAR%20CARLOS%20ALBERTO\cursos\CARLOS%20BERMAR.pdf" TargetMode="External"/><Relationship Id="rId130" Type="http://schemas.openxmlformats.org/officeDocument/2006/relationships/hyperlink" Target="mailto:javier-aleandro@hotmail.com" TargetMode="External"/><Relationship Id="rId135" Type="http://schemas.openxmlformats.org/officeDocument/2006/relationships/hyperlink" Target="mailto:ignaciovece6@gmail.com" TargetMode="External"/><Relationship Id="rId151" Type="http://schemas.openxmlformats.org/officeDocument/2006/relationships/hyperlink" Target="mailto:walter.lucero@gruponaser.com.ar" TargetMode="External"/><Relationship Id="rId156" Type="http://schemas.openxmlformats.org/officeDocument/2006/relationships/hyperlink" Target="mailto:miguel.decroce@gruponaser.com.ar" TargetMode="External"/><Relationship Id="rId172" Type="http://schemas.openxmlformats.org/officeDocument/2006/relationships/vmlDrawing" Target="../drawings/vmlDrawing1.vml"/><Relationship Id="rId13" Type="http://schemas.openxmlformats.org/officeDocument/2006/relationships/hyperlink" Target="file:///C:\Users\cjara\AppData\Roaming\Microsoft\Excel\01)%20RRHH\ALMONACID%20NORIEGA%20DANIEL\LIC%20DE%20CONDUCIR%20VTO%2022-06-2025.pdf" TargetMode="External"/><Relationship Id="rId18" Type="http://schemas.openxmlformats.org/officeDocument/2006/relationships/hyperlink" Target="file:///C:\Users\coordinadorhseq\AppData\Local\Microsoft\Windows\INetCache\Content.Outlook\1JT4WC0O\01)%20RRHH\VECE,IGNACIO%20MARTIN\MD%20Vto%2025-09-2026.pdf" TargetMode="External"/><Relationship Id="rId39" Type="http://schemas.openxmlformats.org/officeDocument/2006/relationships/hyperlink" Target="file:///C:\Users\cjara\AppData\Roaming\Microsoft\Excel\01)%20RRHH\DOMINGUEZ,%20Roque%20Mariano\Lic.%20de%20conducir%20VTO%2024-05-2028.pdf" TargetMode="External"/><Relationship Id="rId109" Type="http://schemas.openxmlformats.org/officeDocument/2006/relationships/hyperlink" Target="file:///C:\Users\coordinadorhseq\AppData\Local\Microsoft\Windows\INetCache\Content.Outlook\1JT4WC0O\01)%20RRHH\GRIER%20FACUNDO\ex%20periodico%20VTO%2021-08-2025.pdf" TargetMode="External"/><Relationship Id="rId34" Type="http://schemas.openxmlformats.org/officeDocument/2006/relationships/hyperlink" Target="file:///C:\Users\cjara\AppData\Roaming\Microsoft\Excel\01)%20RRHH\PIZARRO,%20Sigifredo\Periodico%20Pizarro%20VTO%2005-01-2024.pdf" TargetMode="External"/><Relationship Id="rId50" Type="http://schemas.openxmlformats.org/officeDocument/2006/relationships/hyperlink" Target="file:///C:\Users\coordinadorhseq\AppData\Local\Microsoft\Windows\INetCache\Content.Outlook\1JT4WC0O\01)%20RRHH\ALMONACID%20NORIEGA%20DANIEL\Cert_Inicial_ESLINGADOR%20Y%20SE&#209;ALERO_NASER_25_10%20(1).pdf" TargetMode="External"/><Relationship Id="rId55" Type="http://schemas.openxmlformats.org/officeDocument/2006/relationships/hyperlink" Target="file:///C:\Users\coordinadorhseq\AppData\Local\Microsoft\Windows\INetCache\Content.Outlook\1JT4WC0O\01)%20RRHH\LUCERO,%20WALTER%20RICARDO\Linti%20Psicofisico%20Vto%2019-08-2026.pdf" TargetMode="External"/><Relationship Id="rId76" Type="http://schemas.openxmlformats.org/officeDocument/2006/relationships/hyperlink" Target="file:///C:\Users\coordinadorhseq\AppData\Local\Microsoft\Windows\INetCache\Content.Outlook\1JT4WC0O\01)%20RRHH\LAGOS%20RODRIGO\Curso%20de%20torque%20vto%2020-8-2025.pdf" TargetMode="External"/><Relationship Id="rId97" Type="http://schemas.openxmlformats.org/officeDocument/2006/relationships/hyperlink" Target="file:///C:\Users\coordinadorhseq\AppData\Local\Microsoft\Windows\INetCache\Content.Outlook\1JT4WC0O\01)%20RRHH\CHITADINO,%20Elvira\Periodico%20Vto%206-12-2024.pdf" TargetMode="External"/><Relationship Id="rId104" Type="http://schemas.openxmlformats.org/officeDocument/2006/relationships/hyperlink" Target="file:///C:\Users\coordinadorhseq\AppData\Local\Microsoft\Windows\INetCache\Content.Outlook\1JT4WC0O\01)%20RRHH\MERCADO%20MATIAS%20SEBASTIAN\Ex.%20Periodico%20Vto%2022-08-2025.pdf" TargetMode="External"/><Relationship Id="rId120" Type="http://schemas.openxmlformats.org/officeDocument/2006/relationships/hyperlink" Target="file:///C:\Users\coordinadorhseq\AppData\Local\Microsoft\Windows\INetCache\Content.Outlook\1JT4WC0O\01)%20RRHH\DOMINGUEZ,%20Roque%20Mariano\Periodico%20Dominguez%20Vto%2001-02-2025.pdf" TargetMode="External"/><Relationship Id="rId125" Type="http://schemas.openxmlformats.org/officeDocument/2006/relationships/hyperlink" Target="mailto:gsalassa@gmail.com" TargetMode="External"/><Relationship Id="rId141" Type="http://schemas.openxmlformats.org/officeDocument/2006/relationships/hyperlink" Target="mailto:diego.espeche@gruponaser.com.ar" TargetMode="External"/><Relationship Id="rId146" Type="http://schemas.openxmlformats.org/officeDocument/2006/relationships/hyperlink" Target="mailto:sergio.medel@gruponaser.com.ar" TargetMode="External"/><Relationship Id="rId167" Type="http://schemas.openxmlformats.org/officeDocument/2006/relationships/hyperlink" Target="mailto:vanesa.marcon@gruponaser.com.ar" TargetMode="External"/><Relationship Id="rId7" Type="http://schemas.openxmlformats.org/officeDocument/2006/relationships/hyperlink" Target="file:///C:\Users\coordinadorhseq\AppData\Local\Microsoft\Windows\INetCache\Content.Outlook\1JT4WC0O\01)%20RRHH\SALASSA,%20Gerardo\Lic.%20Vto.%2026-11-2029.pdf" TargetMode="External"/><Relationship Id="rId71" Type="http://schemas.openxmlformats.org/officeDocument/2006/relationships/hyperlink" Target="file:///C:\Users\coordinadorhseq\AppData\Local\Microsoft\Windows\INetCache\Content.Outlook\1JT4WC0O\01)%20RRHH\PEREZ%20GUSTAVO%20FLORENCIO\Curso%20de%20torque%20vto%2020-8-2025.pdf" TargetMode="External"/><Relationship Id="rId92" Type="http://schemas.openxmlformats.org/officeDocument/2006/relationships/hyperlink" Target="file:///C:\Users\coordinadorhseq\AppData\Local\Microsoft\Windows\INetCache\Content.Outlook\1JT4WC0O\01)%20RRHH\MOLINA%20LUCAS%20OMAR\Linti%20Mercancias%20peligrosas%20Vto%2001-03-2025.pdf" TargetMode="External"/><Relationship Id="rId162" Type="http://schemas.openxmlformats.org/officeDocument/2006/relationships/hyperlink" Target="mailto:jonatan.casamajou@gruponaser.com.ar" TargetMode="External"/><Relationship Id="rId2" Type="http://schemas.openxmlformats.org/officeDocument/2006/relationships/hyperlink" Target="file:///C:\Users\coordinadorhseq\AppData\Local\Microsoft\Windows\INetCache\Content.Outlook\1JT4WC0O\01)%20RRHH\PEREZ%20GUSTAVO%20FLORENCIO\MD%20Vto%2010-04-2027.pdf" TargetMode="External"/><Relationship Id="rId29" Type="http://schemas.openxmlformats.org/officeDocument/2006/relationships/hyperlink" Target="file:///C:\Users\coordinadorhseq\AppData\Local\Microsoft\Windows\INetCache\Content.Outlook\1JT4WC0O\01)%20RRHH\LUCERO,%20WALTER%20RICARDO\LINTI%20cargas%20generales%20Vto%2016-08-2025.pdf" TargetMode="External"/><Relationship Id="rId24" Type="http://schemas.openxmlformats.org/officeDocument/2006/relationships/hyperlink" Target="file:///C:\Users\coordinadorhseq\AppData\Local\Microsoft\Windows\INetCache\Content.Outlook\1JT4WC0O\01)%20RRHH\BELIZON%20JUAN%20ANDRES\MD%20Vto%2025-09-2026.pdf" TargetMode="External"/><Relationship Id="rId40" Type="http://schemas.openxmlformats.org/officeDocument/2006/relationships/hyperlink" Target="file:///C:\Users\coordinadorhseq\AppData\Local\Microsoft\Windows\INetCache\Content.Outlook\1JT4WC0O\01)%20RRHH\ESPECHE%20DIEGO\MD%20Vto%2030-06-2025.pdf" TargetMode="External"/><Relationship Id="rId45" Type="http://schemas.openxmlformats.org/officeDocument/2006/relationships/hyperlink" Target="file:///C:\Users\coordinadorhseq\AppData\Local\Microsoft\Windows\INetCache\Content.Outlook\1JT4WC0O\01)%20RRHH\BERROCAL%20ALAN%20ALBERTO\MD%20Vto%2026-07-2025.pdf" TargetMode="External"/><Relationship Id="rId66" Type="http://schemas.openxmlformats.org/officeDocument/2006/relationships/hyperlink" Target="file:///C:\Users\coordinadorhseq\AppData\Local\Microsoft\Windows\INetCache\Content.Outlook\1JT4WC0O\01)%20RRHH\DOMINGUEZ%20MOLINA%20FACUNDO%20MAXIMILIANO\Lic.Conducir%20Vto%2005-12-2028.pdf" TargetMode="External"/><Relationship Id="rId87" Type="http://schemas.openxmlformats.org/officeDocument/2006/relationships/hyperlink" Target="file:///C:\Users\coordinadorhseq\AppData\Local\Microsoft\Windows\INetCache\Content.Outlook\1JT4WC0O\01)%20RRHH\MOLINA%20LUCAS%20OMAR\Licencia%20de%20conducir%20Vto%206-9-26.pdf" TargetMode="External"/><Relationship Id="rId110" Type="http://schemas.openxmlformats.org/officeDocument/2006/relationships/hyperlink" Target="file:///C:\Users\coordinadorhseq\AppData\Local\Microsoft\Windows\INetCache\Content.Outlook\1JT4WC0O\01)%20RRHH\DE%20CROCE%20MIGUEL%20ANGEL\Ex.%20Periodico%20VTO%2016-01-2025.pdf" TargetMode="External"/><Relationship Id="rId115" Type="http://schemas.openxmlformats.org/officeDocument/2006/relationships/hyperlink" Target="file:///C:\Users\coordinadorhseq\AppData\Local\Microsoft\Windows\INetCache\Content.Outlook\1JT4WC0O\01)%20RRHH\ALMONACID%20NORIEGA%20DANIEL\Periodico%20VTO%2023-07-2025.pdf" TargetMode="External"/><Relationship Id="rId131" Type="http://schemas.openxmlformats.org/officeDocument/2006/relationships/hyperlink" Target="mailto:aecostallat@hotmail.com" TargetMode="External"/><Relationship Id="rId136" Type="http://schemas.openxmlformats.org/officeDocument/2006/relationships/hyperlink" Target="mailto:walter64@hotmail.com" TargetMode="External"/><Relationship Id="rId157" Type="http://schemas.openxmlformats.org/officeDocument/2006/relationships/hyperlink" Target="mailto:rodrigo.lagos@gruponaser.com.ar" TargetMode="External"/><Relationship Id="rId61" Type="http://schemas.openxmlformats.org/officeDocument/2006/relationships/hyperlink" Target="file:///C:\Users\coordinadorhseq\AppData\Local\Microsoft\Windows\INetCache\Content.Outlook\1JT4WC0O\01)%20RRHH\CASTRO%20ALEJANDRO%20JOSE\MD%20Vto%2027-09-2025.pdf" TargetMode="External"/><Relationship Id="rId82" Type="http://schemas.openxmlformats.org/officeDocument/2006/relationships/hyperlink" Target="file:///C:\Users\coordinadorhseq\AppData\Local\Microsoft\Windows\INetCache\Content.Outlook\1JT4WC0O\01)%20RRHH\PIZARRO,%20Sigifredo\lic.%20Na.%20de%20conducir%20VTO%2008-02-2029.pdf" TargetMode="External"/><Relationship Id="rId152" Type="http://schemas.openxmlformats.org/officeDocument/2006/relationships/hyperlink" Target="mailto:noelia.cunelao@gruponaser.com.ar" TargetMode="External"/><Relationship Id="rId173" Type="http://schemas.openxmlformats.org/officeDocument/2006/relationships/comments" Target="../comments1.xml"/><Relationship Id="rId19" Type="http://schemas.openxmlformats.org/officeDocument/2006/relationships/hyperlink" Target="file:///C:\Users\coordinadorhseq\AppData\Local\Microsoft\Windows\INetCache\Content.Outlook\1JT4WC0O\01)%20RRHH\VECE,IGNACIO%20MARTIN\licencia%20conducir%20VTO%2010-03-2027.pdf" TargetMode="External"/><Relationship Id="rId14" Type="http://schemas.openxmlformats.org/officeDocument/2006/relationships/hyperlink" Target="file:///C:\Users\coordinadorhseq\AppData\Local\Microsoft\Windows\INetCache\Content.Outlook\1JT4WC0O\01)%20RRHH\ALMONACID%20NORIEGA%20DANIEL\MD%2026-07-2025.pdf" TargetMode="External"/><Relationship Id="rId30" Type="http://schemas.openxmlformats.org/officeDocument/2006/relationships/hyperlink" Target="file:///C:\Users\coordinadorhseq\AppData\Local\Microsoft\Windows\INetCache\Content.Outlook\1JT4WC0O\01)%20RRHH\ALMONACID%20NORIEGA%20DANIEL\Linti%20Cargas%20grales%20Vto%2015-7-25.pdf" TargetMode="External"/><Relationship Id="rId35" Type="http://schemas.openxmlformats.org/officeDocument/2006/relationships/hyperlink" Target="file:///C:\Users\cjara\AppData\Roaming\Microsoft\Excel\01)%20RRHH\ECHANIZ%20MARCO%20DANIEL\MD%20VTO%2002-02-2025.pdf" TargetMode="External"/><Relationship Id="rId56" Type="http://schemas.openxmlformats.org/officeDocument/2006/relationships/hyperlink" Target="file:///C:\Users\coordinadorhseq\AppData\Local\Microsoft\Windows\INetCache\Content.Outlook\1JT4WC0O\01)%20RRHH\ALMONACID%20NORIEGA%20DANIEL\Linti%20Psicofisico%20Vto%2024-7-26.pdf" TargetMode="External"/><Relationship Id="rId77" Type="http://schemas.openxmlformats.org/officeDocument/2006/relationships/hyperlink" Target="file:///C:\Users\coordinadorhseq\AppData\Local\Microsoft\Windows\INetCache\Content.Outlook\1JT4WC0O\01)%20RRHH\CASAMAJOU%20JONATAN\Curso%20de%20torque%20vto%2020-8-2025.pdf" TargetMode="External"/><Relationship Id="rId100" Type="http://schemas.openxmlformats.org/officeDocument/2006/relationships/hyperlink" Target="file:///C:\Users\coordinadorhseq\AppData\Local\Microsoft\Windows\INetCache\Content.Outlook\1JT4WC0O\01)%20RRHH\BERROCAL%20ALAN%20ALBERTO\Periodico%20Berrocal%20VTO%2022-07-2025.pdf" TargetMode="External"/><Relationship Id="rId105" Type="http://schemas.openxmlformats.org/officeDocument/2006/relationships/hyperlink" Target="file:///C:\Users\coordinadorhseq\AppData\Local\Microsoft\Windows\INetCache\Content.Outlook\1JT4WC0O\01)%20RRHH\CASTRO%20ALEJANDRO%20JOSE\Ex.%20periodico%20Vto%2019-8-25.pdf" TargetMode="External"/><Relationship Id="rId126" Type="http://schemas.openxmlformats.org/officeDocument/2006/relationships/hyperlink" Target="mailto:sergiomedel222@gmail.com" TargetMode="External"/><Relationship Id="rId147" Type="http://schemas.openxmlformats.org/officeDocument/2006/relationships/hyperlink" Target="mailto:carina.jara@gruponaser.com.ar" TargetMode="External"/><Relationship Id="rId168" Type="http://schemas.openxmlformats.org/officeDocument/2006/relationships/hyperlink" Target="mailto:sigifredo.pizarro@gruponaser.com.ar" TargetMode="External"/><Relationship Id="rId8" Type="http://schemas.openxmlformats.org/officeDocument/2006/relationships/hyperlink" Target="file:///C:\Users\coordinadorhseq\AppData\Local\Microsoft\Windows\INetCache\Content.Outlook\1JT4WC0O\01)%20RRHH\GRIER%20FACUNDO\MD%20vto%2002-02-2025.pdf" TargetMode="External"/><Relationship Id="rId51" Type="http://schemas.openxmlformats.org/officeDocument/2006/relationships/hyperlink" Target="file:///C:\Users\coordinadorhseq\AppData\Local\Microsoft\Windows\INetCache\Content.Outlook\1JT4WC0O\01)%20RRHH\CASAMAJOU%20JONATAN\Licencia%20de%20Conducir%20Vto%2001-03-2026.pdf" TargetMode="External"/><Relationship Id="rId72" Type="http://schemas.openxmlformats.org/officeDocument/2006/relationships/hyperlink" Target="file:///C:\Users\coordinadorhseq\AppData\Local\Microsoft\Windows\INetCache\Content.Outlook\1JT4WC0O\01)%20RRHH\VIDELA,%20OMAR%20DAVID\Curso%20de%20torque%20vto%2020-8-2025.pdf" TargetMode="External"/><Relationship Id="rId93" Type="http://schemas.openxmlformats.org/officeDocument/2006/relationships/hyperlink" Target="file:///C:\Users\coordinadorhseq\AppData\Local\Microsoft\Windows\INetCache\Content.Outlook\1JT4WC0O\01)%20RRHH\MOLINA%20LUCAS%20OMAR\Preocupacional%20Vto%2012-6-25.pdf" TargetMode="External"/><Relationship Id="rId98" Type="http://schemas.openxmlformats.org/officeDocument/2006/relationships/hyperlink" Target="file:///C:\Users\coordinadorhseq\AppData\Local\Microsoft\Windows\INetCache\Content.Outlook\1JT4WC0O\01)%20RRHH\CASTILLO%20IVON%20VANESA\Periodico%20Vto%2011-12-24.pdf" TargetMode="External"/><Relationship Id="rId121" Type="http://schemas.openxmlformats.org/officeDocument/2006/relationships/hyperlink" Target="file:///C:\Users\coordinadorhseq\AppData\Local\Microsoft\Windows\INetCache\Content.Outlook\1JT4WC0O\01)%20RRHH\LUCERO,%20WALTER%20RICARDO\Periodico%20Lucero%20Vto%2001-02-2025.pdf" TargetMode="External"/><Relationship Id="rId142" Type="http://schemas.openxmlformats.org/officeDocument/2006/relationships/hyperlink" Target="mailto:gerardo.salassa@gruponaser.com.ar" TargetMode="External"/><Relationship Id="rId163" Type="http://schemas.openxmlformats.org/officeDocument/2006/relationships/hyperlink" Target="mailto:facundo.dominguez@gruponaser.com.ar" TargetMode="External"/><Relationship Id="rId3" Type="http://schemas.openxmlformats.org/officeDocument/2006/relationships/hyperlink" Target="file:///C:\Users\cjara\AppData\Roaming\Microsoft\Excel\01)%20RRHH\LUCERO,%20WALTER%20RICARDO\MD%20VTO%2024-01-2025.pdf" TargetMode="External"/><Relationship Id="rId25" Type="http://schemas.openxmlformats.org/officeDocument/2006/relationships/hyperlink" Target="file:///C:\Users\coordinadorhseq\AppData\Local\Microsoft\Windows\INetCache\Content.Outlook\1JT4WC0O\01)%20RRHH\MEDEL,%20Sergio\MD%20Vto%2025-09-2026.pdf" TargetMode="External"/><Relationship Id="rId46" Type="http://schemas.openxmlformats.org/officeDocument/2006/relationships/hyperlink" Target="file:///C:\Users\coordinadorhseq\AppData\Local\Microsoft\Windows\INetCache\Content.Outlook\1JT4WC0O\01)%20RRHH\BASOALTO,%20Juan%20Manuel\licencia%20Vto%2005-12-2025.pdf" TargetMode="External"/><Relationship Id="rId67" Type="http://schemas.openxmlformats.org/officeDocument/2006/relationships/hyperlink" Target="file:///C:\Users\coordinadorhseq\AppData\Local\Microsoft\Windows\INetCache\Content.Outlook\1JT4WC0O\01)%20RRHH\DOMINGUEZ%20MOLINA%20FACUNDO%20MAXIMILIANO\MD%20Vto%2004-06-2026.pdf" TargetMode="External"/><Relationship Id="rId116" Type="http://schemas.openxmlformats.org/officeDocument/2006/relationships/hyperlink" Target="file:///C:\Users\coordinadorhseq\AppData\Local\Microsoft\Windows\INetCache\Content.Outlook\1JT4WC0O\01)%20RRHH\BELIZON%20JUAN%20ANDRES\Periodico%20Belizon%20vto%2030-01-2025.pdf" TargetMode="External"/><Relationship Id="rId137" Type="http://schemas.openxmlformats.org/officeDocument/2006/relationships/hyperlink" Target="mailto:noegisecunelao@gmail.com" TargetMode="External"/><Relationship Id="rId158" Type="http://schemas.openxmlformats.org/officeDocument/2006/relationships/hyperlink" Target="mailto:marco.echaniz@gruponaser.com.ar" TargetMode="External"/><Relationship Id="rId20" Type="http://schemas.openxmlformats.org/officeDocument/2006/relationships/hyperlink" Target="file:///C:\Users\coordinadorhseq\AppData\Local\Microsoft\Windows\INetCache\Content.Outlook\1JT4WC0O\01)%20RRHH\ESPECHE%20DIEGO\Lic.%20de%20Conducir%20Vto%2025-01-2026.pdf" TargetMode="External"/><Relationship Id="rId41" Type="http://schemas.openxmlformats.org/officeDocument/2006/relationships/hyperlink" Target="file:///C:\Users\cjara\AppData\Roaming\Microsoft\Excel\01)%20RRHH\COSTALLAT%20ARIEL\Licencia%20VTO%2018-10-2026.pdf" TargetMode="External"/><Relationship Id="rId62" Type="http://schemas.openxmlformats.org/officeDocument/2006/relationships/hyperlink" Target="file:///C:\Users\coordinadorhseq\AppData\Local\Microsoft\Windows\INetCache\Content.Outlook\1JT4WC0O\01)%20RRHH\MERCADO%20MATIAS%20SEBASTIAN\MD%20Vto%2027-09-2025.pdf" TargetMode="External"/><Relationship Id="rId83" Type="http://schemas.openxmlformats.org/officeDocument/2006/relationships/hyperlink" Target="file:///C:\Users\coordinadorhseq\AppData\Local\Microsoft\Windows\INetCache\Content.Outlook\1JT4WC0O\01)%20RRHH\BORQUEZ%20LUCAS%20JAVIER\MD%20Vto%2003-07-2026.pdf" TargetMode="External"/><Relationship Id="rId88" Type="http://schemas.openxmlformats.org/officeDocument/2006/relationships/hyperlink" Target="file:///C:\Users\coordinadorhseq\AppData\Local\Microsoft\Windows\INetCache\Content.Outlook\1JT4WC0O\01)%20RRHH\MOLINA%20LUCAS%20OMAR\MD%20Flota%20Liviana%20Vto%2019-06-2026.pdf" TargetMode="External"/><Relationship Id="rId111" Type="http://schemas.openxmlformats.org/officeDocument/2006/relationships/hyperlink" Target="file:///C:\Users\coordinadorhseq\AppData\Local\Microsoft\Windows\INetCache\Content.Outlook\1JT4WC0O\01)%20RRHH\MEDEL,%20Sergio\periodico%20Vto%2007-03-2025.pdf" TargetMode="External"/><Relationship Id="rId132" Type="http://schemas.openxmlformats.org/officeDocument/2006/relationships/hyperlink" Target="mailto:ovidela2012@gmail.com" TargetMode="External"/><Relationship Id="rId153" Type="http://schemas.openxmlformats.org/officeDocument/2006/relationships/hyperlink" Target="mailto:omar.videla@gruponaser.com.ar" TargetMode="External"/><Relationship Id="rId15" Type="http://schemas.openxmlformats.org/officeDocument/2006/relationships/hyperlink" Target="file:///C:\Users\coordinadorhseq\AppData\Local\Microsoft\Windows\INetCache\Content.Outlook\1JT4WC0O\01)%20RRHH\MORALES%20DIEGO%20CESAR\Carnet%20de%20Conducir%20VTO%2018-09-2028.pdf" TargetMode="External"/><Relationship Id="rId36" Type="http://schemas.openxmlformats.org/officeDocument/2006/relationships/hyperlink" Target="file:///C:\Users\coordinadorhseq\AppData\Local\Microsoft\Windows\INetCache\Content.Outlook\1JT4WC0O\01)%20RRHH\ECHANIZ%20MARCO%20DANIEL\LIC.%20VTO%2006-03-2026.pdf" TargetMode="External"/><Relationship Id="rId57" Type="http://schemas.openxmlformats.org/officeDocument/2006/relationships/hyperlink" Target="file:///C:\Users\coordinadorhseq\AppData\Local\Microsoft\Windows\INetCache\Content.Outlook\1JT4WC0O\01)%20RRHH\DE%20CROCE%20MIGUEL%20ANGEL\Linti.pdf" TargetMode="External"/><Relationship Id="rId106" Type="http://schemas.openxmlformats.org/officeDocument/2006/relationships/hyperlink" Target="file:///C:\Users\coordinadorhseq\AppData\Local\Microsoft\Windows\INetCache\Content.Outlook\1JT4WC0O\01)%20RRHH\COSTALLAT%20ARIEL\Periodico%20Costallat%20VTO%2022-10-2025.pdf" TargetMode="External"/><Relationship Id="rId127" Type="http://schemas.openxmlformats.org/officeDocument/2006/relationships/hyperlink" Target="mailto:jabelizon@gmail.com" TargetMode="External"/><Relationship Id="rId10" Type="http://schemas.openxmlformats.org/officeDocument/2006/relationships/hyperlink" Target="file:///C:\Users\coordinadorhseq\AppData\Local\Microsoft\Windows\INetCache\Content.Outlook\1JT4WC0O\01)%20RRHH\MEDEL,%20Sergio\Lic.%20conducir%20VTO%2013-03-2027.pdf" TargetMode="External"/><Relationship Id="rId31" Type="http://schemas.openxmlformats.org/officeDocument/2006/relationships/hyperlink" Target="file:///C:\Users\coordinadorhseq\AppData\Local\Microsoft\Windows\INetCache\Content.Outlook\1JT4WC0O\01)%20RRHH\DE%20CROCE%20MIGUEL%20ANGEL\linti%20cargas%20grales%20VTO%2015-01-2025.pdf" TargetMode="External"/><Relationship Id="rId52" Type="http://schemas.openxmlformats.org/officeDocument/2006/relationships/hyperlink" Target="file:///C:\Users\coordinadorhseq\AppData\Local\Microsoft\Windows\INetCache\Content.Outlook\1JT4WC0O\01)%20RRHH\CASAMAJOU%20JONATAN\MD%20Vto%2019-01-2026.pdf" TargetMode="External"/><Relationship Id="rId73" Type="http://schemas.openxmlformats.org/officeDocument/2006/relationships/hyperlink" Target="file:///C:\Users\coordinadorhseq\AppData\Local\Microsoft\Windows\INetCache\Content.Outlook\1JT4WC0O\01)%20RRHH\GRIER%20FACUNDO\Curso%20de%20torque%20vto%2020-8-2025.pdf" TargetMode="External"/><Relationship Id="rId78" Type="http://schemas.openxmlformats.org/officeDocument/2006/relationships/hyperlink" Target="file:///C:\Users\coordinadorhseq\AppData\Local\Microsoft\Windows\INetCache\Content.Outlook\1JT4WC0O\01)%20RRHH\GRIER%20FACUNDO\Certificado%20Well%20Control.pdf" TargetMode="External"/><Relationship Id="rId94" Type="http://schemas.openxmlformats.org/officeDocument/2006/relationships/hyperlink" Target="file:///C:\Users\coordinadorhseq\AppData\Local\Microsoft\Windows\INetCache\Content.Outlook\1JT4WC0O\01)%20RRHH\ARAVENA%20GABRIELA\Periodico%20Vto%207-12-2024.pdf" TargetMode="External"/><Relationship Id="rId99" Type="http://schemas.openxmlformats.org/officeDocument/2006/relationships/hyperlink" Target="file:///C:\Users\coordinadorhseq\AppData\Local\Microsoft\Windows\INetCache\Content.Outlook\1JT4WC0O\01)%20RRHH\VIDELA,%20OMAR%20DAVID\Ex.%20Periodico%20VTO%2030-09-2025.pdf" TargetMode="External"/><Relationship Id="rId101" Type="http://schemas.openxmlformats.org/officeDocument/2006/relationships/hyperlink" Target="file:///C:\Users\coordinadorhseq\AppData\Local\Microsoft\Windows\INetCache\Content.Outlook\1JT4WC0O\01)%20RRHH\BORQUEZ%20LUCAS%20JAVIER\Preocupacional%20vto%2024-6-24.pdf" TargetMode="External"/><Relationship Id="rId122" Type="http://schemas.openxmlformats.org/officeDocument/2006/relationships/hyperlink" Target="file:///C:\Users\coordinadorhseq\AppData\Local\Microsoft\Windows\INetCache\Content.Outlook\1JT4WC0O\01)%20RRHH\SALASSA,%20Gerardo\Periodico%20Salassa%20Vto%2002-02-2025.pdf" TargetMode="External"/><Relationship Id="rId143" Type="http://schemas.openxmlformats.org/officeDocument/2006/relationships/hyperlink" Target="mailto:mariano.dominguez@gruponaser.com.ar" TargetMode="External"/><Relationship Id="rId148" Type="http://schemas.openxmlformats.org/officeDocument/2006/relationships/hyperlink" Target="mailto:javier.peralta@gruponaser.com.ar" TargetMode="External"/><Relationship Id="rId164" Type="http://schemas.openxmlformats.org/officeDocument/2006/relationships/hyperlink" Target="mailto:lucas.borquez@gruponaser.com.ar" TargetMode="External"/><Relationship Id="rId169" Type="http://schemas.openxmlformats.org/officeDocument/2006/relationships/hyperlink" Target="mailto:carlos.bermar@gruponaser.com.ar" TargetMode="External"/><Relationship Id="rId4" Type="http://schemas.openxmlformats.org/officeDocument/2006/relationships/hyperlink" Target="file:///C:\Users\coordinadorhseq\AppData\Local\Microsoft\Windows\INetCache\Content.Outlook\1JT4WC0O\01)%20RRHH\PERALTA%20JAVIER\LICENCIA%20VTO%2019-12-2026.pdf" TargetMode="External"/><Relationship Id="rId9" Type="http://schemas.openxmlformats.org/officeDocument/2006/relationships/hyperlink" Target="file:///C:\Users\coordinadorhseq\AppData\Local\Microsoft\Windows\INetCache\Content.Outlook\1JT4WC0O\01)%20RRHH\GRIER%20FACUNDO\Lic.%20Conducir%20Vto%2020-03-2028.pdf" TargetMode="External"/><Relationship Id="rId26" Type="http://schemas.openxmlformats.org/officeDocument/2006/relationships/hyperlink" Target="file:///C:\Users\coordinadorhseq\AppData\Local\Microsoft\Windows\INetCache\Content.Outlook\1JT4WC0O\01)%20RRHH\DE%20CROCE%20MIGUEL%20ANGEL\MD%20vto%2031-01-2026.pdf" TargetMode="External"/><Relationship Id="rId47" Type="http://schemas.openxmlformats.org/officeDocument/2006/relationships/hyperlink" Target="file:///C:\Users\coordinadorhseq\AppData\Local\Microsoft\Windows\INetCache\Content.Outlook\1JT4WC0O\01)%20RRHH\CASTRO%20ALEJANDRO%20JOSE\Linti%20Cargas%20grales%20Vto%2016-9-25.pdf" TargetMode="External"/><Relationship Id="rId68" Type="http://schemas.openxmlformats.org/officeDocument/2006/relationships/hyperlink" Target="file:///C:\Users\coordinadorhseq\AppData\Local\Microsoft\Windows\INetCache\Content.Outlook\1JT4WC0O\01)%20RRHH\CASTRO%20ALEJANDRO%20JOSE\LIC%20DE%20CONDUCIR%20VTO%2023-07-2026.pdf" TargetMode="External"/><Relationship Id="rId89" Type="http://schemas.openxmlformats.org/officeDocument/2006/relationships/hyperlink" Target="file:///C:\Users\coordinadorhseq\AppData\Local\Microsoft\Windows\INetCache\Content.Outlook\1JT4WC0O\01)%20RRHH\MOLINA%20LUCAS%20OMAR\Linti%20Cargas%20grales%20Vto%2026-06-2025.pdf" TargetMode="External"/><Relationship Id="rId112" Type="http://schemas.openxmlformats.org/officeDocument/2006/relationships/hyperlink" Target="file:///C:\Users\coordinadorhseq\AppData\Local\Microsoft\Windows\INetCache\Content.Outlook\1JT4WC0O\01)%20RRHH\ESPECHE%20DIEGO\Periodico%20Espeche%20vto%200-03-2025.pdf" TargetMode="External"/><Relationship Id="rId133" Type="http://schemas.openxmlformats.org/officeDocument/2006/relationships/hyperlink" Target="mailto:facundogrier815@hotmail.com" TargetMode="External"/><Relationship Id="rId154" Type="http://schemas.openxmlformats.org/officeDocument/2006/relationships/hyperlink" Target="mailto:facundo.grier@gruponaser.com.ar" TargetMode="External"/><Relationship Id="rId16" Type="http://schemas.openxmlformats.org/officeDocument/2006/relationships/hyperlink" Target="file:///C:\Users\coordinadorhseq\AppData\Local\Microsoft\Windows\INetCache\Content.Outlook\1JT4WC0O\01)%20RRHH\MORALES%20DIEGO%20CESAR\MD%20Vto%2008-10-2025.pdf" TargetMode="External"/><Relationship Id="rId37" Type="http://schemas.openxmlformats.org/officeDocument/2006/relationships/hyperlink" Target="file:///C:\Users\cjara\AppData\Roaming\Microsoft\Excel\01)%20RRHH\PERALTA%20JAVIER\Carnet%20eslingador%20y%20se&#241;alero%20VTO%2029-10-2023.pdf" TargetMode="External"/><Relationship Id="rId58" Type="http://schemas.openxmlformats.org/officeDocument/2006/relationships/hyperlink" Target="file:///C:\Users\coordinadorhseq\AppData\Local\Microsoft\Windows\INetCache\Content.Outlook\1JT4WC0O\01)%20RRHH\LAGOS%20RODRIGO\linti.pdf" TargetMode="External"/><Relationship Id="rId79" Type="http://schemas.openxmlformats.org/officeDocument/2006/relationships/hyperlink" Target="file:///C:\Users\coordinadorhseq\AppData\Local\Microsoft\Windows\INetCache\Content.Outlook\1JT4WC0O\01)%20RRHH\ESPECHE%20DIEGO\ESPECHE%20MIRANDA,%20DIEGO%20SEBASTIAN%20Well%20Control.pdf" TargetMode="External"/><Relationship Id="rId102" Type="http://schemas.openxmlformats.org/officeDocument/2006/relationships/hyperlink" Target="file:///C:\Users\coordinadorhseq\AppData\Local\Microsoft\Windows\INetCache\Content.Outlook\1JT4WC0O\01)%20RRHH\DOMINGUEZ%20MOLINA%20FACUNDO%20MAXIMILIANO\Ex%20periodico%20VTo%2011-04-2026.pdf" TargetMode="External"/><Relationship Id="rId123" Type="http://schemas.openxmlformats.org/officeDocument/2006/relationships/hyperlink" Target="file:///C:\Users\coordinadorhseq\AppData\Local\Microsoft\Windows\INetCache\Content.Outlook\1JT4WC0O\01)%20RRHH\CU&#209;ELAO%20NOELIA%20GISELL\Periodico%20Vto%207-12-2024.pdf" TargetMode="External"/><Relationship Id="rId144" Type="http://schemas.openxmlformats.org/officeDocument/2006/relationships/hyperlink" Target="mailto:andres.belizon@gruponaser.com.ar" TargetMode="External"/><Relationship Id="rId90" Type="http://schemas.openxmlformats.org/officeDocument/2006/relationships/hyperlink" Target="file:///C:\Users\coordinadorhseq\AppData\Local\Microsoft\Windows\INetCache\Content.Outlook\1JT4WC0O\01)%20RRHH\MOLINA%20LUCAS%20OMAR\Linti%20Psicofisico%20Vto%2012-05-2025.pdf" TargetMode="External"/><Relationship Id="rId165" Type="http://schemas.openxmlformats.org/officeDocument/2006/relationships/hyperlink" Target="mailto:ariel.costallat@gruponaser.com.ar" TargetMode="External"/><Relationship Id="rId27" Type="http://schemas.openxmlformats.org/officeDocument/2006/relationships/hyperlink" Target="file:///C:\Users\coordinadorhseq\AppData\Local\Microsoft\Windows\INetCache\Content.Outlook\1JT4WC0O\01)%20RRHH\LAGOS%20RODRIGO\MD%20Vto%2030-08-2026.pdf" TargetMode="External"/><Relationship Id="rId48" Type="http://schemas.openxmlformats.org/officeDocument/2006/relationships/hyperlink" Target="file:///C:\Users\coordinadorhseq\AppData\Local\Microsoft\Windows\INetCache\Content.Outlook\1JT4WC0O\01)%20RRHH\MERCADO%20MATIAS%20SEBASTIAN\LINTI%20Cargas%20Grales%20VTO%2015-07-2025.pdf" TargetMode="External"/><Relationship Id="rId69" Type="http://schemas.openxmlformats.org/officeDocument/2006/relationships/hyperlink" Target="file:///C:\Users\coordinadorhseq\AppData\Local\Microsoft\Windows\INetCache\Content.Outlook\1JT4WC0O\01)%20RRHH\CASTRO%20ALEJANDRO%20JOSE\Linti%20Mercancias%20Peligrosas%20Vto%2003-08-25.pdf" TargetMode="External"/><Relationship Id="rId113" Type="http://schemas.openxmlformats.org/officeDocument/2006/relationships/hyperlink" Target="file:///C:\Users\coordinadorhseq\AppData\Local\Microsoft\Windows\INetCache\Content.Outlook\1JT4WC0O\01)%20RRHH\VECE,IGNACIO%20MARTIN\Ex.%20Periodico%20Vto%2014-04-2026.pdf" TargetMode="External"/><Relationship Id="rId134" Type="http://schemas.openxmlformats.org/officeDocument/2006/relationships/hyperlink" Target="mailto:gustavoperezvime33@gmail.com" TargetMode="External"/><Relationship Id="rId80" Type="http://schemas.openxmlformats.org/officeDocument/2006/relationships/hyperlink" Target="file:///C:\Users\coordinadorhseq\AppData\Local\Microsoft\Windows\INetCache\Content.Outlook\1JT4WC0O\01)%20RRHH\MEDEL,%20Sergio\MEDEL,%20SERGIO%20EMILIO%20well%20Control.pdf" TargetMode="External"/><Relationship Id="rId155" Type="http://schemas.openxmlformats.org/officeDocument/2006/relationships/hyperlink" Target="mailto:daniel.almonacid@gruponaser.com.ar" TargetMode="External"/><Relationship Id="rId17" Type="http://schemas.openxmlformats.org/officeDocument/2006/relationships/hyperlink" Target="file:///C:\Users\coordinadorhseq\AppData\Local\Microsoft\Windows\INetCache\Content.Outlook\1JT4WC0O\01)%20RRHH\BELIZON%20JUAN%20ANDRES\licencia%20VTO%2023-10-2025.pdf" TargetMode="External"/><Relationship Id="rId38" Type="http://schemas.openxmlformats.org/officeDocument/2006/relationships/hyperlink" Target="file:///C:\Users\cjara\AppData\Roaming\Microsoft\Excel\01)%20RRHH\LAGOS%20RODRIGO\Carnet%20eslingador%20y%20se&#241;alero%20VTO%2029-10-2023.pdf" TargetMode="External"/><Relationship Id="rId59" Type="http://schemas.openxmlformats.org/officeDocument/2006/relationships/hyperlink" Target="file:///C:\Users\coordinadorhseq\AppData\Local\Microsoft\Windows\INetCache\Content.Outlook\1JT4WC0O\01)%20RRHH\CASTRO%20ALEJANDRO%20JOSE\Linti.pdf" TargetMode="External"/><Relationship Id="rId103" Type="http://schemas.openxmlformats.org/officeDocument/2006/relationships/hyperlink" Target="file:///C:\Users\coordinadorhseq\AppData\Local\Microsoft\Windows\INetCache\Content.Outlook\1JT4WC0O\01)%20RRHH\CASAMAJOU%20JONATAN\Preocupacional%20Casamajou%20VTO%2010-01-2025.pdf" TargetMode="External"/><Relationship Id="rId124" Type="http://schemas.openxmlformats.org/officeDocument/2006/relationships/hyperlink" Target="mailto:dominguezmariano07@gmail.com" TargetMode="External"/><Relationship Id="rId70" Type="http://schemas.openxmlformats.org/officeDocument/2006/relationships/hyperlink" Target="file:///C:\Users\coordinadorhseq\AppData\Local\Microsoft\Windows\INetCache\Content.Outlook\1JT4WC0O\01)%20RRHH\MERCADO%20MATIAS%20SEBASTIAN\Linti%20Mercancias%20peligrosas%20Vto%2031-10-2024.pdf" TargetMode="External"/><Relationship Id="rId91" Type="http://schemas.openxmlformats.org/officeDocument/2006/relationships/hyperlink" Target="file:///C:\Users\coordinadorhseq\AppData\Local\Microsoft\Windows\INetCache\Content.Outlook\1JT4WC0O\01)%20RRHH\MOLINA%20LUCAS%20OMAR\Linti%20Mercancias%20peligrosas%20Vto%2001-03-2025.pdf" TargetMode="External"/><Relationship Id="rId145" Type="http://schemas.openxmlformats.org/officeDocument/2006/relationships/hyperlink" Target="mailto:diego.morales@gruponaser.com.ar" TargetMode="External"/><Relationship Id="rId166" Type="http://schemas.openxmlformats.org/officeDocument/2006/relationships/hyperlink" Target="mailto:administracion@gruponaser.com.ar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file:///C:\Users\coordinadorhseq\AppData\Local\Microsoft\Windows\INetCache\Content.Outlook\1JT4WC0O\01)%20RRHH\MESA%20NELSON%20DARIO\Periodico%20Vto%2011-12-2024.pdf" TargetMode="External"/><Relationship Id="rId1" Type="http://schemas.openxmlformats.org/officeDocument/2006/relationships/hyperlink" Target="file:///C:\Users\coordinadorhseq\AppData\Local\Microsoft\Windows\INetCache\Content.Outlook\1JT4WC0O\01)%20RRHH\FERNANDEZ,%20Yanina\Periodico%20Vto%206-12-2024.pdf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file:///C:\Users\coordinadorhseq\AppData\Local\Microsoft\Windows\INetCache\Content.Outlook\1JT4WC0O\01)%20RRHH\SANCHEZ%20EMANUEL%20EMILIANO\MD%20Vto%2026-07-2025.pdf" TargetMode="External"/><Relationship Id="rId13" Type="http://schemas.openxmlformats.org/officeDocument/2006/relationships/hyperlink" Target="file:///C:\Users\coordinadorhseq\AppData\Local\Microsoft\Windows\INetCache\Content.Outlook\1JT4WC0O\01)%20RRHH\FLORES%20CRISTIAN%20SERGIO\Periodico%20Flores%20to%2007-03-2025.pdf" TargetMode="External"/><Relationship Id="rId18" Type="http://schemas.openxmlformats.org/officeDocument/2006/relationships/hyperlink" Target="file:///C:\Users\coordinadorhseq\AppData\Local\Microsoft\Windows\INetCache\Content.Outlook\1JT4WC0O\01)%20RRHH\ROMERO%20MAURICIO%20JOAQUIN\MD%20Flota%20Liviana%20Vto%2019-06-2026.pdf" TargetMode="External"/><Relationship Id="rId3" Type="http://schemas.openxmlformats.org/officeDocument/2006/relationships/hyperlink" Target="file:///C:\Users\cjara\AppData\Roaming\Microsoft\Excel\01)%20RRHH\ALGA&#209;ARAZ%20FRANCO%20MATIAS\licencia%20Cargas%20Grales%20%20VTO%2008-05-2024.pdf" TargetMode="External"/><Relationship Id="rId7" Type="http://schemas.openxmlformats.org/officeDocument/2006/relationships/hyperlink" Target="file:///C:\Users\coordinadorhseq\AppData\Local\Microsoft\Windows\INetCache\Content.Outlook\1JT4WC0O\01)%20RRHH\SANCHEZ%20EMANUEL%20EMILIANO\LIC.%20CONDUCIR%20VTO%2021-10-2024.pdf" TargetMode="External"/><Relationship Id="rId12" Type="http://schemas.openxmlformats.org/officeDocument/2006/relationships/hyperlink" Target="file:///C:\Users\coordinadorhseq\AppData\Local\Microsoft\Windows\INetCache\Content.Outlook\1JT4WC0O\01)%20RRHH\FLORES%20CRISTIAN%20SERGIO\LINTI%20Vto%2030-06-2024.pdf" TargetMode="External"/><Relationship Id="rId17" Type="http://schemas.openxmlformats.org/officeDocument/2006/relationships/hyperlink" Target="file:///C:\Users\coordinadorhseq\AppData\Local\Microsoft\Windows\INetCache\Content.Outlook\1JT4WC0O\01)%20RRHH\ROMERO%20MAURICIO%20JOAQUIN\Licencia.pdf" TargetMode="External"/><Relationship Id="rId2" Type="http://schemas.openxmlformats.org/officeDocument/2006/relationships/hyperlink" Target="file:///C:\Users\cjara\AppData\Roaming\Microsoft\Excel\01)%20RRHH\ALGA&#209;ARAZ%20FRANCO%20MATIAS\licencia%20de%20conducir%20vto%2014-04-2025.pdf" TargetMode="External"/><Relationship Id="rId16" Type="http://schemas.openxmlformats.org/officeDocument/2006/relationships/hyperlink" Target="file:///C:\Users\coordinadorhseq\AppData\Local\Microsoft\Windows\INetCache\Content.Outlook\1JT4WC0O\01)%20RRHH\FLORES%20CRISTIAN%20SERGIO\linti.pdf" TargetMode="External"/><Relationship Id="rId1" Type="http://schemas.openxmlformats.org/officeDocument/2006/relationships/hyperlink" Target="file:///C:\Users\coordinadorhseq\AppData\Local\Microsoft\Windows\INetCache\Content.Outlook\1JT4WC0O\01)%20RRHH\ALGA&#209;ARAZ%20FRANCO%20MATIAS\MD%20Vto%2026-07-2025.pdf" TargetMode="External"/><Relationship Id="rId6" Type="http://schemas.openxmlformats.org/officeDocument/2006/relationships/hyperlink" Target="file:///C:\Users\coordinadorhseq\AppData\Local\Microsoft\Windows\INetCache\Content.Outlook\1JT4WC0O\01)%20RRHH\SANCHEZ%20EMANUEL%20EMILIANO\Linti%20VTO%2019-05-2024.pdf" TargetMode="External"/><Relationship Id="rId11" Type="http://schemas.openxmlformats.org/officeDocument/2006/relationships/hyperlink" Target="file:///C:\Users\cjara\AppData\Roaming\Microsoft\Excel\01)%20RRHH\FLORES%20CRISTIAN%20SERGIO\Carnet%20eslingador%20y%20se&#241;alero%20VTO%2029-10-2023.pdf" TargetMode="External"/><Relationship Id="rId5" Type="http://schemas.openxmlformats.org/officeDocument/2006/relationships/hyperlink" Target="file:///C:\Users\coordinadorhseq\AppData\Local\Microsoft\Windows\INetCache\Content.Outlook\1JT4WC0O\01)%20RRHH\SANCHEZ%20EMANUEL%20EMILIANO\Ex.%20Preocupacional%20VTO%2017-08-2024.pdf" TargetMode="External"/><Relationship Id="rId15" Type="http://schemas.openxmlformats.org/officeDocument/2006/relationships/hyperlink" Target="file:///C:\Users\cjara\AppData\Roaming\Microsoft\Excel\01)%20RRHH\FLORES%20CRISTIAN%20SERGIO\Licencia%20de%20conducir%20VTO%2030-05-24.pdf" TargetMode="External"/><Relationship Id="rId10" Type="http://schemas.openxmlformats.org/officeDocument/2006/relationships/hyperlink" Target="file:///C:\Users\coordinadorhseq\AppData\Local\Microsoft\Windows\INetCache\Content.Outlook\1JT4WC0O\01)%20RRHH\SANCHEZ%20EMANUEL%20EMILIANO\linti.pdf" TargetMode="External"/><Relationship Id="rId19" Type="http://schemas.openxmlformats.org/officeDocument/2006/relationships/hyperlink" Target="file:///C:\Users\coordinadorhseq\AppData\Local\Microsoft\Windows\INetCache\Content.Outlook\1JT4WC0O\01)%20RRHH\ROMERO%20MAURICIO%20JOAQUIN\Preocupacional%20Vto%2014-6-25.pdf" TargetMode="External"/><Relationship Id="rId4" Type="http://schemas.openxmlformats.org/officeDocument/2006/relationships/hyperlink" Target="file:///C:\Users\cjara\AppData\Roaming\Microsoft\Excel\01)%20RRHH\ALGA&#209;ARAZ%20FRANCO%20MATIAS\Ex.%20Periodico%20Vto%2006-06-2024.pdf" TargetMode="External"/><Relationship Id="rId9" Type="http://schemas.openxmlformats.org/officeDocument/2006/relationships/hyperlink" Target="file:///C:\Users\coordinadorhseq\AppData\Local\Microsoft\Windows\INetCache\Content.Outlook\1JT4WC0O\01)%20RRHH\SANCHEZ%20EMANUEL%20EMILIANO\Cert_Inicial_ESLINGADOR%20Y%20SE&#209;ALERO_NASER_25_10%20(1).pdf" TargetMode="External"/><Relationship Id="rId14" Type="http://schemas.openxmlformats.org/officeDocument/2006/relationships/hyperlink" Target="file:///C:\Users\cjara\AppData\Roaming\Microsoft\Excel\01)%20RRHH\FLORES%20CRISTIAN%20SERGIO\MD%20Vto%2028-03-2025.pdf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file:///C:\Users\cjara\AppData\Roaming\Microsoft\Excel\01)%20RRHH\SOLARES%20PAULO\MD%20VTO%2024-01-2025.pdf" TargetMode="External"/><Relationship Id="rId13" Type="http://schemas.openxmlformats.org/officeDocument/2006/relationships/hyperlink" Target="file:///C:\Users\cjara\AppData\Roaming\Microsoft\Excel\01)%20RRHH\FLORES,%20Jose%20Luis\MD%20Vto%2003-03-2025.pdf" TargetMode="External"/><Relationship Id="rId3" Type="http://schemas.openxmlformats.org/officeDocument/2006/relationships/hyperlink" Target="file:///C:\Users\cjara\AppData\Roaming\Microsoft\Excel\01)%20RRHH\SANCHEZ%20JOSE%20SEBASTIAN\MD%20VTO%2025-11-2021.pdf" TargetMode="External"/><Relationship Id="rId7" Type="http://schemas.openxmlformats.org/officeDocument/2006/relationships/hyperlink" Target="file:///C:\Users\cjara\AppData\Roaming\Microsoft\Excel\01)%20RRHH\SOLARES%20PAULO\Licencia%20de%20conducir%20Vto.%2011-11-2023.pdf" TargetMode="External"/><Relationship Id="rId12" Type="http://schemas.openxmlformats.org/officeDocument/2006/relationships/hyperlink" Target="file:///C:\Users\cjara\AppData\Roaming\Microsoft\Excel\01)%20RRHH\FLORES,%20Jose%20Luis\Ex,Periodico%20VTO%2006-02-2024.pdf" TargetMode="External"/><Relationship Id="rId17" Type="http://schemas.openxmlformats.org/officeDocument/2006/relationships/printerSettings" Target="../printerSettings/printerSettings3.bin"/><Relationship Id="rId2" Type="http://schemas.openxmlformats.org/officeDocument/2006/relationships/hyperlink" Target="file:///C:\Users\cjara\AppData\Roaming\Microsoft\Excel\01)%20RRHH\SANCHEZ%20JOSE%20SEBASTIAN\Ex.%20Periodico%20VTO%2015-01-2022.pdf" TargetMode="External"/><Relationship Id="rId16" Type="http://schemas.openxmlformats.org/officeDocument/2006/relationships/hyperlink" Target="file:///C:\Users\cjara\AppData\Roaming\Microsoft\Excel\01)%20RRHH\MESA%20VITALE%20ESTEBAN\LIC%20VTO%202-5-25.pdf" TargetMode="External"/><Relationship Id="rId1" Type="http://schemas.openxmlformats.org/officeDocument/2006/relationships/hyperlink" Target="file:///C:\Users\cjara\AppData\Roaming\Microsoft\Excel\01)%20RRHH\SANCHEZ%20JOSE%20SEBASTIAN\Licencia%20VTO%2011-04-2026.pdf" TargetMode="External"/><Relationship Id="rId6" Type="http://schemas.openxmlformats.org/officeDocument/2006/relationships/hyperlink" Target="file:///C:\Users\cjara\AppData\Roaming\Microsoft\Excel\01)%20RRHH\VELASQUEZ%20FRANCO%20MIGUEL\MD%20Vto%2007-02-2024.pdf" TargetMode="External"/><Relationship Id="rId11" Type="http://schemas.openxmlformats.org/officeDocument/2006/relationships/hyperlink" Target="file:///C:\Users\cjara\AppData\Roaming\Microsoft\Excel\01)%20RRHH\FLORES,%20Jose%20Luis\Licencia%20de%20conducir%20VTO%2019-09-2024.pdf" TargetMode="External"/><Relationship Id="rId5" Type="http://schemas.openxmlformats.org/officeDocument/2006/relationships/hyperlink" Target="file:///C:\Users\cjara\AppData\Roaming\Microsoft\Excel\01)%20RRHH\VELASQUEZ%20FRANCO%20MIGUEL\LIC.%20CONDUCIR%20Vto.29-10-2025.pdf" TargetMode="External"/><Relationship Id="rId15" Type="http://schemas.openxmlformats.org/officeDocument/2006/relationships/hyperlink" Target="file:///C:\Users\cjara\AppData\Roaming\Microsoft\Excel\01)%20RRHH\MESA%20VITALE%20ESTEBAN\MD%20VTO%2002-02-2025.pdf" TargetMode="External"/><Relationship Id="rId10" Type="http://schemas.openxmlformats.org/officeDocument/2006/relationships/hyperlink" Target="file:///C:\Users\cjara\AppData\Roaming\Microsoft\Excel\01)%20RRHH\SOLARES%20PAULO\Carnet%20eslingador%20y%20se&#241;alero%20VTO%2029-10-2023.pdf" TargetMode="External"/><Relationship Id="rId4" Type="http://schemas.openxmlformats.org/officeDocument/2006/relationships/hyperlink" Target="file:///C:\Users\cjara\AppData\Roaming\Microsoft\Excel\01)%20RRHH\VELASQUEZ%20FRANCO%20MIGUEL\Ex.%20Periodico%20VTO%2018-01-2024.pdf" TargetMode="External"/><Relationship Id="rId9" Type="http://schemas.openxmlformats.org/officeDocument/2006/relationships/hyperlink" Target="file:///C:\Users\cjara\AppData\Roaming\Microsoft\Excel\01)%20RRHH\SOLARES%20PAULO\Ex.%20Periodico%20Vto%2005-04-2024.pdf" TargetMode="External"/><Relationship Id="rId14" Type="http://schemas.openxmlformats.org/officeDocument/2006/relationships/hyperlink" Target="file:///C:\Users\cjara\AppData\Roaming\Microsoft\Excel\01)%20RRHH\MESA%20VITALE%20ESTEBAN\Preocupacional%20VTO%2031-1-2024.pdf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file:///C:\Users\cjara\AppData\Roaming\Microsoft\Excel\01)%20RRHH\REJEP%20MARIO%20EMILIO\MD%20vto%2014-01-2023.pdf" TargetMode="External"/><Relationship Id="rId13" Type="http://schemas.openxmlformats.org/officeDocument/2006/relationships/hyperlink" Target="file:///C:\Users\cjara\AppData\Roaming\Microsoft\Excel\01)%20RRHH\RILO%20HERNAN\MD%20vto%2006-07-2023.pdf" TargetMode="External"/><Relationship Id="rId18" Type="http://schemas.openxmlformats.org/officeDocument/2006/relationships/hyperlink" Target="file:///C:\Users\cjara\AppData\Roaming\Microsoft\Excel\01)%20RRHH\POLO%20FRANCO%20EXEQUIEL\Ex.%20Periodico%20Vto%2001-04-2023.pdf" TargetMode="External"/><Relationship Id="rId26" Type="http://schemas.openxmlformats.org/officeDocument/2006/relationships/hyperlink" Target="file:///C:\Users\cjara\AppData\Roaming\Microsoft\Excel\01)%20RRHH\COFRE%20PINO%20ENZO%20FABIAN\Linti%20VTO%2021-05-2023.pdf" TargetMode="External"/><Relationship Id="rId3" Type="http://schemas.openxmlformats.org/officeDocument/2006/relationships/hyperlink" Target="file:///C:\Users\cjara\AppData\Roaming\Microsoft\Excel\01)%20RRHH\RUMIE%20VITTAR%20RODOLFO%20ARIEL\MD%20Vto%2014-01-2023.pdf" TargetMode="External"/><Relationship Id="rId21" Type="http://schemas.openxmlformats.org/officeDocument/2006/relationships/hyperlink" Target="file:///C:\Users\cjara\AppData\Roaming\Microsoft\Excel\01)%20RRHH\RODRIGUEZ%20DIEGO%20IGNACIO\Nuevo%20periodico%20Vto%2024-05-2023.pdf" TargetMode="External"/><Relationship Id="rId7" Type="http://schemas.openxmlformats.org/officeDocument/2006/relationships/hyperlink" Target="file:///C:\Users\cjara\AppData\Roaming\Microsoft\Excel\01)%20RRHH\REJEP%20MARIO%20EMILIO\Lic.%20Conducir%20VTO%2019-04-2026.pdf" TargetMode="External"/><Relationship Id="rId12" Type="http://schemas.openxmlformats.org/officeDocument/2006/relationships/hyperlink" Target="file:///C:\Users\cjara\AppData\Roaming\Microsoft\Excel\01)%20RRHH\RILO%20HERNAN\Pre%20ocupacional%20Vto25-06-22.pdf" TargetMode="External"/><Relationship Id="rId17" Type="http://schemas.openxmlformats.org/officeDocument/2006/relationships/hyperlink" Target="file:///C:\Users\cjara\AppData\Roaming\Microsoft\Excel\01)%20RRHH\POLO%20FRANCO%20EXEQUIEL\LINTI.pdf" TargetMode="External"/><Relationship Id="rId25" Type="http://schemas.openxmlformats.org/officeDocument/2006/relationships/hyperlink" Target="file:///C:\Users\cjara\AppData\Roaming\Microsoft\Excel\01)%20RRHH\COFRE%20PINO%20ENZO%20FABIAN\Preocupacional%20VTO%2004-08-2023.pdf" TargetMode="External"/><Relationship Id="rId2" Type="http://schemas.openxmlformats.org/officeDocument/2006/relationships/hyperlink" Target="file:///C:\Users\cjara\AppData\Roaming\Microsoft\Excel\01)%20RRHH\SANCHEZ%20MARCELO%20IVAN\LIC.%20CONDUCIR%20Vto%2019-06-2024.pdf" TargetMode="External"/><Relationship Id="rId16" Type="http://schemas.openxmlformats.org/officeDocument/2006/relationships/hyperlink" Target="file:///C:\Users\cjara\AppData\Roaming\Microsoft\Excel\01)%20RRHH\POLO%20FRANCO%20EXEQUIEL\MD%20Vto%2022-10-2022.pdf" TargetMode="External"/><Relationship Id="rId20" Type="http://schemas.openxmlformats.org/officeDocument/2006/relationships/hyperlink" Target="file:///C:\Users\cjara\AppData\Roaming\Microsoft\Excel\01)%20RRHH\RODRIGUEZ%20DIEGO%20IGNACIO\licencia%20de%20conducir%20VTO%2022-09-2026.pdf" TargetMode="External"/><Relationship Id="rId29" Type="http://schemas.openxmlformats.org/officeDocument/2006/relationships/hyperlink" Target="file:///C:\Users\cjara\AppData\Roaming\Microsoft\Excel\01)%20RRHH\GRILL%20JULIETA\MD%20VTO%2012-07-2024.pdf" TargetMode="External"/><Relationship Id="rId1" Type="http://schemas.openxmlformats.org/officeDocument/2006/relationships/hyperlink" Target="file:///C:\Users\cjara\AppData\Roaming\Microsoft\Excel\01)%20RRHH\SANCHEZ%20MARCELO%20IVAN\Preocupacional%20Vto%2022-07-2022.pdf" TargetMode="External"/><Relationship Id="rId6" Type="http://schemas.openxmlformats.org/officeDocument/2006/relationships/hyperlink" Target="file:///C:\Users\cjara\AppData\Roaming\Microsoft\Excel\01)%20RRHH\REJEP%20MARIO%20EMILIO\Ex.%20Periodico%20VTO%2015-01-2022.pdf" TargetMode="External"/><Relationship Id="rId11" Type="http://schemas.openxmlformats.org/officeDocument/2006/relationships/hyperlink" Target="file:///C:\Users\cjara\AppData\Roaming\Microsoft\Excel\01)%20RRHH\RILO%20HERNAN\LIC.%20CONDUCIR%20Vto%2030-01-22.pdf" TargetMode="External"/><Relationship Id="rId24" Type="http://schemas.openxmlformats.org/officeDocument/2006/relationships/hyperlink" Target="file:///C:\Users\cjara\AppData\Roaming\Microsoft\Excel\01)%20RRHH\COFRE%20PINO%20ENZO%20FABIAN\MD%20VTO%2024-08-2024.pdf" TargetMode="External"/><Relationship Id="rId5" Type="http://schemas.openxmlformats.org/officeDocument/2006/relationships/hyperlink" Target="file:///C:\Users\cjara\AppData\Roaming\Microsoft\Excel\01)%20RRHH\RUMIE%20VITTAR%20RODOLFO%20ARIEL\Ex.%20preocupacional%20%20VTO%2029-12-2021.pdf" TargetMode="External"/><Relationship Id="rId15" Type="http://schemas.openxmlformats.org/officeDocument/2006/relationships/hyperlink" Target="file:///C:\Users\Outlet\AppData\Roaming\Microsoft\Excel\01)%20RRHH\POLO%20FRANCO%20EXEQUIEL\LICENCIA%20VTO%2025-04-2020.pdf" TargetMode="External"/><Relationship Id="rId23" Type="http://schemas.openxmlformats.org/officeDocument/2006/relationships/hyperlink" Target="file:///C:\Users\cjara\AppData\Roaming\Microsoft\Excel\01)%20RRHH\COFRE%20PINO%20ENZO%20FABIAN\Lic.%20VTO%2027-07-2024.pdf" TargetMode="External"/><Relationship Id="rId28" Type="http://schemas.openxmlformats.org/officeDocument/2006/relationships/hyperlink" Target="file:///C:\Users\cjara\AppData\Roaming\Microsoft\Excel\01)%20RRHH\GRILL%20JULIETA\LIC.%20CONDUCIR%20VTO%2024-01-2025.pdf" TargetMode="External"/><Relationship Id="rId10" Type="http://schemas.openxmlformats.org/officeDocument/2006/relationships/hyperlink" Target="file:///C:\Users\cjara\AppData\Roaming\Microsoft\Excel\01)%20RRHH\JARAMILLO,%20SERGIO%20GASTON\Ex.%20Periodico%20Vto%2019-01-2023.pdf" TargetMode="External"/><Relationship Id="rId19" Type="http://schemas.openxmlformats.org/officeDocument/2006/relationships/hyperlink" Target="file:///C:\Users\cjara\AppData\Roaming\Microsoft\Excel\01)%20RRHH\RODRIGUEZ%20DIEGO%20IGNACIO\MD%20VTO%2008-07-2023.pdf" TargetMode="External"/><Relationship Id="rId4" Type="http://schemas.openxmlformats.org/officeDocument/2006/relationships/hyperlink" Target="file:///C:\Users\cjara\AppData\Roaming\Microsoft\Excel\01)%20RRHH\RUMIE%20VITTAR%20RODOLFO%20ARIEL\Lic.%20de%20conducir%20vto%2020-09-24.pdf" TargetMode="External"/><Relationship Id="rId9" Type="http://schemas.openxmlformats.org/officeDocument/2006/relationships/hyperlink" Target="file:///C:\Users\Outlet\AppData\Roaming\Microsoft\Excel\01)%20RRHH\JARAMILLO,%20SERGIO%20GASTON\Licencia,%20vto%2007-08-2024.pdf" TargetMode="External"/><Relationship Id="rId14" Type="http://schemas.openxmlformats.org/officeDocument/2006/relationships/hyperlink" Target="file:///C:\Users\cjara\AppData\Roaming\Microsoft\Excel\01)%20RRHH\RILO%20HERNAN\linti.pdf" TargetMode="External"/><Relationship Id="rId22" Type="http://schemas.openxmlformats.org/officeDocument/2006/relationships/hyperlink" Target="file:///C:\Users\cjara\AppData\Roaming\Microsoft\Excel\01)%20RRHH\FLORES,%20FRANCO%20LEANDRO\MD%20VTO%2025-11-2021.pdf" TargetMode="External"/><Relationship Id="rId27" Type="http://schemas.openxmlformats.org/officeDocument/2006/relationships/hyperlink" Target="file:///C:\Users\cjara\AppData\Roaming\Microsoft\Excel\01)%20RRHH\GRILL%20JULIETA\PRE%20OCUPACIONAL.pdf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file:///C:\Users\cjara\AppData\Roaming\Microsoft\Excel\01)%20RRHH\ESPARZA%20MATIAS%20NICOLAS\licencia%20VTO%2008-10-2021.pdf" TargetMode="External"/><Relationship Id="rId18" Type="http://schemas.openxmlformats.org/officeDocument/2006/relationships/hyperlink" Target="file:///C:\Users\cjara\AppData\Roaming\Microsoft\Excel\01)%20RRHH\VALENZUELA%20GASTON\MD%20Vto%2002-03-2023.pdf" TargetMode="External"/><Relationship Id="rId26" Type="http://schemas.openxmlformats.org/officeDocument/2006/relationships/hyperlink" Target="file:///C:\Users\cjara\AppData\Roaming\Microsoft\Excel\01)%20RRHH\MEDER%20RAFAEL%20OSCAR\Ex.%20periodico%20VTO%2030-10-2021.pdf" TargetMode="External"/><Relationship Id="rId39" Type="http://schemas.openxmlformats.org/officeDocument/2006/relationships/hyperlink" Target="file:///C:\Users\cjara\AppData\Roaming\Microsoft\Excel\01)%20RRHH\CORACHAN%20JOAQUIN\Licenci%20de%20conducir%20Vto.%2030-10-2022.pdf" TargetMode="External"/><Relationship Id="rId21" Type="http://schemas.openxmlformats.org/officeDocument/2006/relationships/hyperlink" Target="file:///C:\Users\cjara\AppData\Roaming\Microsoft\Excel\01)%20RRHH\BARRA%20FABIAN\Ex.%20preocupacional%20VTO%2031-03-2022.pdf" TargetMode="External"/><Relationship Id="rId34" Type="http://schemas.openxmlformats.org/officeDocument/2006/relationships/hyperlink" Target="file:///C:\Users\cjara\AppData\Roaming\Microsoft\Excel\01)%20RRHH\ACOSTA%20LUCIANO%20ALEXIS\Lic%20de%20conducir%20Vto%2015-07-26.pdf" TargetMode="External"/><Relationship Id="rId42" Type="http://schemas.openxmlformats.org/officeDocument/2006/relationships/hyperlink" Target="file:///C:\Users\cjara\AppData\Roaming\Microsoft\Excel\01)%20RRHH\VELIZ,%20PEDRO%20PABLO\MD%20Vto%2015-04-2023.pdf" TargetMode="External"/><Relationship Id="rId7" Type="http://schemas.openxmlformats.org/officeDocument/2006/relationships/hyperlink" Target="file:///C:\Users\Outlet\AppData\Roaming\Microsoft\Excel\01)%20RRHH\MU&#209;OZ%20ALEJANDRO\LIC.%20DE%20CONDUCIR%20VTO%2021-04-22.pdf" TargetMode="External"/><Relationship Id="rId2" Type="http://schemas.openxmlformats.org/officeDocument/2006/relationships/hyperlink" Target="file:///C:\Users\Outlet\AppData\Roaming\Microsoft\Excel\01)%20RRHH\JARA%20MARTIN%20EMANUEL\ex.%20preocupacional%20%20VTO.%2017-05-2020.pdf" TargetMode="External"/><Relationship Id="rId16" Type="http://schemas.openxmlformats.org/officeDocument/2006/relationships/hyperlink" Target="file:///C:\Users\cjara\AppData\Roaming\Microsoft\Excel\01)%20RRHH\VALENZUELA%20GASTON\Preocupacional%20Valenzuela%2002-02-21.pdf" TargetMode="External"/><Relationship Id="rId29" Type="http://schemas.openxmlformats.org/officeDocument/2006/relationships/hyperlink" Target="file:///C:\Users\cjara\AppData\Roaming\Microsoft\Excel\01)%20RRHH\PINO%20ALE\EX.%20PREOCUPACIONAL%20VTO%2031-03-2022.pdf" TargetMode="External"/><Relationship Id="rId1" Type="http://schemas.openxmlformats.org/officeDocument/2006/relationships/hyperlink" Target="file:///C:\Users\cjara\AppData\Roaming\Microsoft\Excel\01)%20RRHH\JARA%20MARTIN%20EMANUEL\LIC.%20DE%20CONDUCIR%20VTO%2006-06-25.pdf" TargetMode="External"/><Relationship Id="rId6" Type="http://schemas.openxmlformats.org/officeDocument/2006/relationships/hyperlink" Target="file:///C:\Users\Outlet\AppData\Roaming\Microsoft\Excel\01)%20RRHH\PANICCIA,GIULIANO%20STEFANO\Periodico%2001-10-2019.pdf" TargetMode="External"/><Relationship Id="rId11" Type="http://schemas.openxmlformats.org/officeDocument/2006/relationships/hyperlink" Target="file:///C:\Users\Outlet\AppData\Roaming\Microsoft\Excel\01)%20RRHH\GONZALEZ,%20Victor\MD%20Gonzales%20VTO%2022-03-2020.pdf" TargetMode="External"/><Relationship Id="rId24" Type="http://schemas.openxmlformats.org/officeDocument/2006/relationships/hyperlink" Target="file:///C:\Users\cjara\AppData\Roaming\Microsoft\Excel\01)%20RRHH\PEDEMONTE,%20Victor\Licencia%20de%20Conducir%20VTO%2005-01-2026.pdf" TargetMode="External"/><Relationship Id="rId32" Type="http://schemas.openxmlformats.org/officeDocument/2006/relationships/hyperlink" Target="file:///C:\Users\cjara\AppData\Roaming\Microsoft\Excel\01)%20RRHH\HERNANDEZ,%20Anselmo%20Maico\Ex.%20periodico%20VTO19-04-2022.pdf" TargetMode="External"/><Relationship Id="rId37" Type="http://schemas.openxmlformats.org/officeDocument/2006/relationships/hyperlink" Target="file:///C:\Users\cjara\AppData\Roaming\Microsoft\Excel\01)%20RRHH\CORACHAN%20JOAQUIN\Ex.%20Periodico%20VTO%2027-11-2021.pdf" TargetMode="External"/><Relationship Id="rId40" Type="http://schemas.openxmlformats.org/officeDocument/2006/relationships/hyperlink" Target="file:///C:\Users\cjara\AppData\Roaming\Microsoft\Excel\01)%20RRHH\VELIZ,%20PEDRO%20PABLO" TargetMode="External"/><Relationship Id="rId45" Type="http://schemas.openxmlformats.org/officeDocument/2006/relationships/hyperlink" Target="file:///C:\Users\cjara\AppData\Roaming\Microsoft\Excel\01)%20RRHH\FUENTES%20DANIEL%20ANDRES\Ex.%20Periodico%20VTO%2015-01-2022.pdf" TargetMode="External"/><Relationship Id="rId5" Type="http://schemas.openxmlformats.org/officeDocument/2006/relationships/hyperlink" Target="file:///C:\Users\Outlet\AppData\Roaming\Microsoft\Excel\01)%20RRHH\PANICCIA,GIULIANO%20STEFANO\paniccia%20manejo%20dfensivo%20vto%2003-10-2020.pdf" TargetMode="External"/><Relationship Id="rId15" Type="http://schemas.openxmlformats.org/officeDocument/2006/relationships/hyperlink" Target="file:///C:\Users\Outlet\AppData\Roaming\Microsoft\Excel\01)%20RRHH\ESPARZA%20MATIAS%20NICOLAS\MD%20vto%2008-08-2021.pdf" TargetMode="External"/><Relationship Id="rId23" Type="http://schemas.openxmlformats.org/officeDocument/2006/relationships/hyperlink" Target="file:///C:\Users\cjara\AppData\Roaming\Microsoft\Excel\01)%20RRHH\PEDEMONTE,%20Victor\Periodico%20Vto%2015-03-2022.pdf" TargetMode="External"/><Relationship Id="rId28" Type="http://schemas.openxmlformats.org/officeDocument/2006/relationships/hyperlink" Target="file:///C:\Users\cjara\AppData\Roaming\Microsoft\Excel\01)%20RRHH\PINO%20ALE\MD%20Vto%2009-04-2023.pdf" TargetMode="External"/><Relationship Id="rId36" Type="http://schemas.openxmlformats.org/officeDocument/2006/relationships/hyperlink" Target="file:///C:\Users\cjara\AppData\Roaming\Microsoft\Excel\01)%20RRHH\PIZARRO%20MAURICIO\Lic%20de%20Conducir%20VTO%2012-01-2023.pdf" TargetMode="External"/><Relationship Id="rId10" Type="http://schemas.openxmlformats.org/officeDocument/2006/relationships/hyperlink" Target="file:///C:\Users\Outlet\AppData\Roaming\Microsoft\Excel\01)%20RRHH\GONZALEZ,%20Victor\periodico%20Vto.%2012-03-2020.pdf" TargetMode="External"/><Relationship Id="rId19" Type="http://schemas.openxmlformats.org/officeDocument/2006/relationships/hyperlink" Target="file:///C:\Users\cjara\AppData\Roaming\Microsoft\Excel\01)%20RRHH\BARRA%20FABIAN\LIC.%20CONDUCIR%20VTO%2018-12-2021.pdf" TargetMode="External"/><Relationship Id="rId31" Type="http://schemas.openxmlformats.org/officeDocument/2006/relationships/hyperlink" Target="file:///C:\Users\cjara\AppData\Roaming\Microsoft\Excel\01)%20RRHH\HERNANDEZ,%20Anselmo%20Maico\MD%20VTO%2025-11-2021.pdf" TargetMode="External"/><Relationship Id="rId44" Type="http://schemas.openxmlformats.org/officeDocument/2006/relationships/hyperlink" Target="file:///C:\Users\cjara\AppData\Roaming\Microsoft\Excel\01)%20RRHH\FUENTES%20DANIEL%20ANDRES\Lic.%20VTO%2007-02-2022.pdf" TargetMode="External"/><Relationship Id="rId4" Type="http://schemas.openxmlformats.org/officeDocument/2006/relationships/hyperlink" Target="file:///C:\Users\cjara\AppData\Roaming\Microsoft\Excel\01)%20RRHH\PANICCIA,GIULIANO%20STEFANO\licencia%20actualizada%20vto0-11-2023.pdf" TargetMode="External"/><Relationship Id="rId9" Type="http://schemas.openxmlformats.org/officeDocument/2006/relationships/hyperlink" Target="file:///C:\Users\cjara\AppData\Roaming\Microsoft\Excel\01)%20RRHH\MU&#209;OZ%20ALEJANDRO\Ex.%20Periodico%20VTO%2018-11-2021.pdf" TargetMode="External"/><Relationship Id="rId14" Type="http://schemas.openxmlformats.org/officeDocument/2006/relationships/hyperlink" Target="file:///C:\Users\Outlet\AppData\Roaming\Microsoft\Excel\01)%20RRHH\ESPARZA%20MATIAS%20NICOLAS\Ex.%20Preocupacional%20VTO%2025-07-2020.pdf" TargetMode="External"/><Relationship Id="rId22" Type="http://schemas.openxmlformats.org/officeDocument/2006/relationships/hyperlink" Target="file:///C:\Users\cjara\AppData\Roaming\Microsoft\Excel\01)%20RRHH\PEDEMONTE,%20Victor\MD%20Vto%2022-10-2022.pdf" TargetMode="External"/><Relationship Id="rId27" Type="http://schemas.openxmlformats.org/officeDocument/2006/relationships/hyperlink" Target="file:///C:\Users\cjara\AppData\Roaming\Microsoft\Excel\01)%20RRHH\PINO%20ALE\LIC.%20CONDUCIR%2009-02-2023.pdf" TargetMode="External"/><Relationship Id="rId30" Type="http://schemas.openxmlformats.org/officeDocument/2006/relationships/hyperlink" Target="file:///C:\Users\cjara\AppData\Roaming\Microsoft\Excel\01)%20RRHH\HERNANDEZ,%20Anselmo%20Maico\CARNET.pdf" TargetMode="External"/><Relationship Id="rId35" Type="http://schemas.openxmlformats.org/officeDocument/2006/relationships/hyperlink" Target="file:///C:\Users\cjara\AppData\Roaming\Microsoft\Excel\01)%20RRHH\PIZARRO%20MAURICIO\MD%20Vto%2009-02-2023.pdf" TargetMode="External"/><Relationship Id="rId43" Type="http://schemas.openxmlformats.org/officeDocument/2006/relationships/hyperlink" Target="file:///C:\Users\cjara\AppData\Roaming\Microsoft\Excel\01)%20RRHH\FUENTES%20DANIEL%20ANDRES\MD%20VTO%2018-08-2023.pdf" TargetMode="External"/><Relationship Id="rId8" Type="http://schemas.openxmlformats.org/officeDocument/2006/relationships/hyperlink" Target="file:///C:\Users\Outlet\AppData\Roaming\Microsoft\Excel\01)%20RRHH\MU&#209;OZ%20ALEJANDRO\MD%20vto%2013-07-2021.pdf" TargetMode="External"/><Relationship Id="rId3" Type="http://schemas.openxmlformats.org/officeDocument/2006/relationships/hyperlink" Target="file:///C:\Users\Outlet\AppData\Roaming\Microsoft\Excel\01)%20RRHH\JARA%20MARTIN%20EMANUEL\MD%20VTO%2031-05-2021.pdf" TargetMode="External"/><Relationship Id="rId12" Type="http://schemas.openxmlformats.org/officeDocument/2006/relationships/hyperlink" Target="file:///C:\Users\cjara\AppData\Roaming\Microsoft\Excel\01)%20RRHH\GONZALEZ,%20Victor\licencia%20VTO%2022-12-2025.pdf" TargetMode="External"/><Relationship Id="rId17" Type="http://schemas.openxmlformats.org/officeDocument/2006/relationships/hyperlink" Target="file:///C:\Users\cjara\AppData\Roaming\Microsoft\Excel\01)%20RRHH\VALENZUELA%20GASTON\Lic.%20VTO%2028-02-2025.pdf" TargetMode="External"/><Relationship Id="rId25" Type="http://schemas.openxmlformats.org/officeDocument/2006/relationships/hyperlink" Target="file:///C:\Users\Outlet\AppData\Roaming\Microsoft\Excel\01)%20RRHH\MEDER%20RAFAEL%20OSCAR\MD%20Vto%2028-08%20-21.pdf" TargetMode="External"/><Relationship Id="rId33" Type="http://schemas.openxmlformats.org/officeDocument/2006/relationships/hyperlink" Target="file:///C:\Users\cjara\AppData\Roaming\Microsoft\Excel\01)%20RRHH\ACOSTA%20LUCIANO%20ALEXIS\PRE%20OCUPACIONAL%20Vto10-06-22.pdf" TargetMode="External"/><Relationship Id="rId38" Type="http://schemas.openxmlformats.org/officeDocument/2006/relationships/hyperlink" Target="file:///C:\Users\cjara\AppData\Roaming\Microsoft\Excel\01)%20RRHH\CORACHAN%20JOAQUIN\MD%20VTO%2014-01-2023.pdf" TargetMode="External"/><Relationship Id="rId20" Type="http://schemas.openxmlformats.org/officeDocument/2006/relationships/hyperlink" Target="file:///C:\Users\cjara\AppData\Roaming\Microsoft\Excel\01)%20RRHH\BARRA%20FABIAN\MD%20Vto%2009-04-2023.pdf" TargetMode="External"/><Relationship Id="rId41" Type="http://schemas.openxmlformats.org/officeDocument/2006/relationships/hyperlink" Target="file:///C:\Users\cjara\AppData\Roaming\Microsoft\Excel\01)%20RRHH\VELIZ,%20PEDRO%20PABLO\Ex.%20Periodico%20VTO%2019-04-2022.pdf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file:///C:\Users\Outlet\AppData\Roaming\Microsoft\Excel\01)%20RRHH\MOYANO,%20LUCIANO%20DARIO\PRE%20OCUPACIONAL%20VTO%2006-11-2019.pdf" TargetMode="External"/><Relationship Id="rId13" Type="http://schemas.openxmlformats.org/officeDocument/2006/relationships/hyperlink" Target="file:///C:\Users\Outlet\AppData\Roaming\Microsoft\Excel\01)%20RRHH\LUCERO%20GUSTAVO%20JAVIER\Ex.%20Preocupacional%20VTO%2003-05-2020.pdf" TargetMode="External"/><Relationship Id="rId18" Type="http://schemas.openxmlformats.org/officeDocument/2006/relationships/hyperlink" Target="file:///C:\Users\Outlet\AppData\Roaming\Microsoft\Excel\01)%20RRHH\LEON,%20MARTIN%20MIGUEL\MDpdf%20-%20copia%20(3).pdf" TargetMode="External"/><Relationship Id="rId26" Type="http://schemas.openxmlformats.org/officeDocument/2006/relationships/hyperlink" Target="file:///C:\Users\Outlet\AppData\Roaming\Microsoft\Excel\01)%20RRHH\TURRION%20JAVIER%20NICOLAS\Ex.%20Preocupacional%2009-09-2019%20.pdf" TargetMode="External"/><Relationship Id="rId3" Type="http://schemas.openxmlformats.org/officeDocument/2006/relationships/hyperlink" Target="file:///C:\Users\Outlet\AppData\Roaming\Microsoft\Excel\01)%20RRHH\IBA&#209;EZ%20IGNACIO\PREOCUPACIONAL%2011-04-2019%20iba&#241;ez%20bendersky%20ignacio%20.pdf" TargetMode="External"/><Relationship Id="rId21" Type="http://schemas.openxmlformats.org/officeDocument/2006/relationships/hyperlink" Target="file:///C:\Users\Outlet\AppData\Roaming\Microsoft\Excel\01)%20RRHH\SALASSA,%20Carlos\PERIODICO%20SALASSA%20CARLOS%2029-09-2017.pdf" TargetMode="External"/><Relationship Id="rId7" Type="http://schemas.openxmlformats.org/officeDocument/2006/relationships/hyperlink" Target="file:///C:\Users\Outlet\AppData\Roaming\Microsoft\Excel\01)%20RRHH\MOYANO,%20LUCIANO%20DARIO\Manjeo%20Defensivo%20VTO%2017-11-2020.pdf" TargetMode="External"/><Relationship Id="rId12" Type="http://schemas.openxmlformats.org/officeDocument/2006/relationships/hyperlink" Target="file:///C:\Users\Outlet\AppData\Roaming\Microsoft\Excel\01)%20RRHH\LUCERO%20GUSTAVO%20JAVIER\Lic.%20de%20Conducir%20E.%20VTO%2003-03-2020.pdf" TargetMode="External"/><Relationship Id="rId17" Type="http://schemas.openxmlformats.org/officeDocument/2006/relationships/hyperlink" Target="file:///C:\Users\Outlet\AppData\Roaming\Microsoft\Excel\01)%20RRHH\LEON,%20MARTIN%20MIGUEL\LIC%20DE%20CONDUCIR%20VTO%2001-06-22.pdf" TargetMode="External"/><Relationship Id="rId25" Type="http://schemas.openxmlformats.org/officeDocument/2006/relationships/hyperlink" Target="file:///C:\Users\cjara\AppData\Roaming\Microsoft\Excel\01)%20RRHH\OLIVA,%20ANGEL%20DAVID\MD%20Vto%2017-11-2020.pdf" TargetMode="External"/><Relationship Id="rId2" Type="http://schemas.openxmlformats.org/officeDocument/2006/relationships/hyperlink" Target="file:///C:\Users\Outlet\AppData\Roaming\Microsoft\Excel\01)%20RRHH\IBA&#209;EZ%20IGNACIO\MD%20vto%2017-04-2021.pdf" TargetMode="External"/><Relationship Id="rId16" Type="http://schemas.openxmlformats.org/officeDocument/2006/relationships/hyperlink" Target="file:///C:\Users\Outlet\AppData\Roaming\Microsoft\Excel\01)%20RRHH\ALVAREZ%20GASPAR\MD%20vto%2017-04-2021.pdf" TargetMode="External"/><Relationship Id="rId20" Type="http://schemas.openxmlformats.org/officeDocument/2006/relationships/hyperlink" Target="file:///C:\Users\Outlet\AppData\Roaming\Microsoft\Excel\01)%20RRHH\SALASSA,%20Carlos\Carnet%20Vto%2005-12-21.pdf" TargetMode="External"/><Relationship Id="rId1" Type="http://schemas.openxmlformats.org/officeDocument/2006/relationships/hyperlink" Target="file:///C:\Users\cjara\AppData\Roaming\Microsoft\Excel\01)%20RRHH\IBA&#209;EZ%20IGNACIO\licencia%20de%20conducir%20VTO%2029-05-2021.pdf" TargetMode="External"/><Relationship Id="rId6" Type="http://schemas.openxmlformats.org/officeDocument/2006/relationships/hyperlink" Target="file:///C:\Users\cjara\AppData\Roaming\Microsoft\Excel\01)%20RRHH\CERDA%20DAMIAN%20NICOLAS\Lic.%20de%20Conducir%20Vto.08-11-2022.pdf" TargetMode="External"/><Relationship Id="rId11" Type="http://schemas.openxmlformats.org/officeDocument/2006/relationships/hyperlink" Target="file:///C:\Users\Outlet\AppData\Roaming\Microsoft\Excel\01)%20RRHH\LUCERO%20GUSTAVO%20JAVIER\MD%20VTO%2031-05-2021%20NASER.pdf" TargetMode="External"/><Relationship Id="rId24" Type="http://schemas.openxmlformats.org/officeDocument/2006/relationships/hyperlink" Target="file:///C:\Users\cjara\AppData\Roaming\Microsoft\Excel\01)%20RRHH\OLIVA,%20ANGEL%20DAVID\periodico%2011-11-2019.pdf" TargetMode="External"/><Relationship Id="rId5" Type="http://schemas.openxmlformats.org/officeDocument/2006/relationships/hyperlink" Target="file:///C:\Users\cjara\AppData\Roaming\Microsoft\Excel\01)%20RRHH\CERDA%20DAMIAN%20NICOLAS\Ex.%20Preocupacional%2011-11-2019.pdf" TargetMode="External"/><Relationship Id="rId15" Type="http://schemas.openxmlformats.org/officeDocument/2006/relationships/hyperlink" Target="file:///C:\Users\Outlet\AppData\Roaming\Microsoft\Excel\01)%20RRHH\ALVAREZ%20GASPAR\licencia%20VTO%2016-01-2021.pdf" TargetMode="External"/><Relationship Id="rId23" Type="http://schemas.openxmlformats.org/officeDocument/2006/relationships/hyperlink" Target="file:///C:\Users\Outlet\AppData\Roaming\Microsoft\Excel\01)%20RRHH\OLIVA,%20ANGEL%20DAVID\LICENCIA%20OLIVA.pdf" TargetMode="External"/><Relationship Id="rId10" Type="http://schemas.openxmlformats.org/officeDocument/2006/relationships/hyperlink" Target="file:///C:\Users\cjara\AppData\Roaming\Microsoft\Excel\01)%20RRHH\ARANGUIZ%20ALEJANDRO%20MATIAS\Ex.%20Preocupacional%2030-12-2019.pdf" TargetMode="External"/><Relationship Id="rId19" Type="http://schemas.openxmlformats.org/officeDocument/2006/relationships/hyperlink" Target="file:///C:\Users\Outlet\AppData\Roaming\Microsoft\Excel\01)%20RRHH\LEON,%20MARTIN%20MIGUEL\periodico%2007-10-2019.pdf" TargetMode="External"/><Relationship Id="rId4" Type="http://schemas.openxmlformats.org/officeDocument/2006/relationships/hyperlink" Target="file:///C:\Users\cjara\AppData\Roaming\Microsoft\Excel\01)%20RRHH\CERDA%20DAMIAN%20NICOLAS\MD%20VTO%2025-11-2021.pdf" TargetMode="External"/><Relationship Id="rId9" Type="http://schemas.openxmlformats.org/officeDocument/2006/relationships/hyperlink" Target="file:///C:\Users\Outlet\AppData\Roaming\Microsoft\Excel\01)%20RRHH\MOYANO,%20LUCIANO%20DARIO" TargetMode="External"/><Relationship Id="rId14" Type="http://schemas.openxmlformats.org/officeDocument/2006/relationships/hyperlink" Target="file:///C:\Users\Outlet\AppData\Roaming\Microsoft\Excel\01)%20RRHH\ALVAREZ%20GASPAR\Ex.%20Preocupacional%20VTO%2011-04-2020.pdf" TargetMode="External"/><Relationship Id="rId22" Type="http://schemas.openxmlformats.org/officeDocument/2006/relationships/hyperlink" Target="file:///C:\Users\Outlet\AppData\Roaming\Microsoft\Excel\01)%20RRHH\SALASSA,%20Carlos\MD%20vto%2005-09-2019.pdf" TargetMode="External"/><Relationship Id="rId27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file:///C:\Users\Outlet\AppData\Roaming\Microsoft\Excel\01)%20RRHH\MARTINEZ,%20SEBASTIAN\CARGAS%20generales%20VTO%2006-06-2019.pdf" TargetMode="External"/><Relationship Id="rId18" Type="http://schemas.openxmlformats.org/officeDocument/2006/relationships/hyperlink" Target="file:///C:\Users\Outlet\AppData\Roaming\Microsoft\Excel\01)%20RRHH\ASTROZA,%20Javier\CNRT%20ASTROZA%2029-08-2017.pdf" TargetMode="External"/><Relationship Id="rId26" Type="http://schemas.openxmlformats.org/officeDocument/2006/relationships/hyperlink" Target="file:///C:\Users\Outlet\AppData\Roaming\Microsoft\Excel\01)%20RRHH\LORENZINI,%20Franco\Carnet%20A-E1%20LORENIZNI.pdf" TargetMode="External"/><Relationship Id="rId21" Type="http://schemas.openxmlformats.org/officeDocument/2006/relationships/hyperlink" Target="file:///C:\Users\Outlet\AppData\Roaming\Microsoft\Excel\01)%20RRHH\HEREDIA%20MARCOS\LICENCIA%20DE%20CONDUCIR%20VTO%2022-01-2020.pdf" TargetMode="External"/><Relationship Id="rId34" Type="http://schemas.openxmlformats.org/officeDocument/2006/relationships/hyperlink" Target="file:///C:\Users\Outlet\AppData\Roaming\Microsoft\Excel\01)%20RRHH\SOSA%20DIEGO%20ARMANDO\MD%20vto%2004-09-2021.pdf" TargetMode="External"/><Relationship Id="rId7" Type="http://schemas.openxmlformats.org/officeDocument/2006/relationships/hyperlink" Target="file:///C:\Users\Outlet\AppData\Roaming\Microsoft\Excel\01)%20RRHH\RIQUELME%20DAVID\MD%20RIQUELME.pdf" TargetMode="External"/><Relationship Id="rId12" Type="http://schemas.openxmlformats.org/officeDocument/2006/relationships/hyperlink" Target="file:///C:\Users\Outlet\AppData\Roaming\Microsoft\Excel\01)%20RRHH\MARTINEZ,%20SEBASTIAN\LIC%20DE%20CONDUCIR%2004-05-2020.pdf" TargetMode="External"/><Relationship Id="rId17" Type="http://schemas.openxmlformats.org/officeDocument/2006/relationships/hyperlink" Target="file:///C:\Users\Outlet\AppData\Roaming\Microsoft\Excel\01)%20RRHH\ASTROZA,%20Javier\MD%20Astroza%20VTO%2013-07-2019.pdf" TargetMode="External"/><Relationship Id="rId25" Type="http://schemas.openxmlformats.org/officeDocument/2006/relationships/hyperlink" Target="file:///C:\Users\Outlet\AppData\Roaming\Microsoft\Excel\01)%20RRHH\PERALTA%20OCTAVIO%20DAVID\periodico%20Vto.%2015-03-2020.pdf" TargetMode="External"/><Relationship Id="rId33" Type="http://schemas.openxmlformats.org/officeDocument/2006/relationships/hyperlink" Target="file:///C:\Users\Outlet\AppData\Roaming\Microsoft\Excel\01)%20RRHH\SOSA%20DIEGO%20ARMANDO\Licencia%20de%20Conducir%20VTO.%2005-01-2020.pdf" TargetMode="External"/><Relationship Id="rId38" Type="http://schemas.openxmlformats.org/officeDocument/2006/relationships/printerSettings" Target="../printerSettings/printerSettings5.bin"/><Relationship Id="rId2" Type="http://schemas.openxmlformats.org/officeDocument/2006/relationships/hyperlink" Target="file:///C:\Users\Outlet\AppData\Roaming\Microsoft\Excel\01)%20RRHH\LIZAMA%20CRISTIAN%20GASTON\manejo%20defensivo%2012-12-2020.pdf" TargetMode="External"/><Relationship Id="rId16" Type="http://schemas.openxmlformats.org/officeDocument/2006/relationships/hyperlink" Target="file:///C:\Users\Outlet\AppData\Roaming\Microsoft\Excel\01)%20RRHH\ASTROZA,%20Javier\EX%20PERIODICO%20VTO%2003-08-2019.pdf" TargetMode="External"/><Relationship Id="rId20" Type="http://schemas.openxmlformats.org/officeDocument/2006/relationships/hyperlink" Target="file:///C:\Users\Outlet\AppData\Roaming\Microsoft\Excel\01)%20RRHH\HEREDIA%20MARCOS\EX%20PREOCUPACIONAL%20VTO%2027-08-2018.pdf" TargetMode="External"/><Relationship Id="rId29" Type="http://schemas.openxmlformats.org/officeDocument/2006/relationships/hyperlink" Target="file:///C:\Users\Outlet\AppData\Roaming\Microsoft\Excel\01)%20RRHH\FREIRE%20JOSE%20LUCIANO\Lic.%20de%20conducir%20Freire%20VTO%2023-06-2023.pdf" TargetMode="External"/><Relationship Id="rId1" Type="http://schemas.openxmlformats.org/officeDocument/2006/relationships/hyperlink" Target="file:///C:\Users\Outlet\AppData\Roaming\Microsoft\Excel\01)%20RRHH\LIZAMA%20CRISTIAN%20GASTON\LICENCIA%20vto%2031-03-2020%20.pdf" TargetMode="External"/><Relationship Id="rId6" Type="http://schemas.openxmlformats.org/officeDocument/2006/relationships/hyperlink" Target="file:///C:\Users\Outlet\AppData\Roaming\Microsoft\Excel\01)%20RRHH\RIQUELME%20DAVID\EX%20PREOCUPACIONAL%20VTO%2023-08-2019.pdf" TargetMode="External"/><Relationship Id="rId11" Type="http://schemas.openxmlformats.org/officeDocument/2006/relationships/hyperlink" Target="file:///C:\Users\Outlet\AppData\Roaming\Microsoft\Excel\01)%20RRHH\MARTINEZ,%20SEBASTIAN\EX%20PREOCUPACIONAL%20VTO%20-24-08-2019.pdf" TargetMode="External"/><Relationship Id="rId24" Type="http://schemas.openxmlformats.org/officeDocument/2006/relationships/hyperlink" Target="file:///C:\Users\Outlet\AppData\Roaming\Microsoft\Excel\01)%20RRHH\PERALTA%20OCTAVIO%20DAVID\MD%20VTO%2022-05-2020...pdf" TargetMode="External"/><Relationship Id="rId32" Type="http://schemas.openxmlformats.org/officeDocument/2006/relationships/hyperlink" Target="file:///C:\Users\Outlet\AppData\Roaming\Microsoft\Excel\01)%20RRHH\IBA&#209;EZ%20PABLO\MD%20vto%2008-08-2021.pdf" TargetMode="External"/><Relationship Id="rId37" Type="http://schemas.openxmlformats.org/officeDocument/2006/relationships/hyperlink" Target="file:///C:\Users\cjara\AppData\Roaming\Microsoft\Excel\01)%20RRHH\MENDEZ%20JUAN%20IGNACIO\MD%20VTO%2028-11-2021.pdf" TargetMode="External"/><Relationship Id="rId5" Type="http://schemas.openxmlformats.org/officeDocument/2006/relationships/hyperlink" Target="file:///C:\Users\Outlet\AppData\Roaming\Microsoft\Excel\01)%20RRHH\RIQUELME%20DAVID\LIC%20DE%20CONDUCIR%20VTO%2021-04-2021.pdf" TargetMode="External"/><Relationship Id="rId15" Type="http://schemas.openxmlformats.org/officeDocument/2006/relationships/hyperlink" Target="file:///C:\Users\Outlet\AppData\Roaming\Microsoft\Excel\01)%20RRHH\GIACOMELLI%20MARIA%20DE%20LOS%20ANGELES\EX%20PREOCUPACIONAL%20VTO%2003-08-2019.pdf" TargetMode="External"/><Relationship Id="rId23" Type="http://schemas.openxmlformats.org/officeDocument/2006/relationships/hyperlink" Target="file:///C:\Users\Outlet\AppData\Roaming\Microsoft\Excel\01)%20RRHH\PERALTA%20OCTAVIO%20DAVID\CARNET%2011022021.pdf" TargetMode="External"/><Relationship Id="rId28" Type="http://schemas.openxmlformats.org/officeDocument/2006/relationships/hyperlink" Target="file:///C:\Users\Outlet\AppData\Roaming\Microsoft\Excel\01)%20RRHH\LORENZINI,%20Franco\periodico.pdf" TargetMode="External"/><Relationship Id="rId36" Type="http://schemas.openxmlformats.org/officeDocument/2006/relationships/hyperlink" Target="file:///C:\Users\Outlet\AppData\Roaming\Microsoft\Excel\01)%20RRHH\MENDEZ%20JUAN%20IGNACIO\Lic.%20vto%2023-10-2023.pdf" TargetMode="External"/><Relationship Id="rId10" Type="http://schemas.openxmlformats.org/officeDocument/2006/relationships/hyperlink" Target="file:///C:\Users\Outlet\AppData\Roaming\Microsoft\Excel\01)%20RRHH\BALASTEGUI,%20Pablo\PERIODICO%20vto%2021-09-2019.pdf" TargetMode="External"/><Relationship Id="rId19" Type="http://schemas.openxmlformats.org/officeDocument/2006/relationships/hyperlink" Target="file:///C:\Users\Outlet\AppData\Roaming\Microsoft\Excel\01)%20RRHH\ASTROZA,%20Javier\CARNET%20VTO%2020-12-2020.pdf" TargetMode="External"/><Relationship Id="rId31" Type="http://schemas.openxmlformats.org/officeDocument/2006/relationships/hyperlink" Target="file:///C:\Users\Outlet\AppData\Roaming\Microsoft\Excel\01)%20RRHH\IBA&#209;EZ%20PABLO\Lic.%20de%20conducir%20Iba&#241;ez%2023-05-2023.pdf" TargetMode="External"/><Relationship Id="rId4" Type="http://schemas.openxmlformats.org/officeDocument/2006/relationships/hyperlink" Target="file:///C:\Users\Outlet\AppData\Roaming\Microsoft\Excel\01)%20RRHH\FERRADA%20GASTON\pre%20ocupacional.pdf%20VTO%2007-09-2019" TargetMode="External"/><Relationship Id="rId9" Type="http://schemas.openxmlformats.org/officeDocument/2006/relationships/hyperlink" Target="file:///C:\Users\Outlet\AppData\Roaming\Microsoft\Excel\01)%20RRHH\BALASTEGUI,%20Pablo\MD%20BALASTEGUI%20VTO%2028-06-2019.pdf" TargetMode="External"/><Relationship Id="rId14" Type="http://schemas.openxmlformats.org/officeDocument/2006/relationships/hyperlink" Target="file:///C:\Users\Outlet\AppData\Roaming\Microsoft\Excel\01)%20RRHH\MARTINEZ,%20SEBASTIAN\MD%20vto%2009-03-2021%20NASER.pdf" TargetMode="External"/><Relationship Id="rId22" Type="http://schemas.openxmlformats.org/officeDocument/2006/relationships/hyperlink" Target="file:///C:\Users\Outlet\AppData\Roaming\Microsoft\Excel\01)%20RRHH\HEREDIA%20MARCOS\manejo%20defensivo%2019-12-2020.pdf" TargetMode="External"/><Relationship Id="rId27" Type="http://schemas.openxmlformats.org/officeDocument/2006/relationships/hyperlink" Target="file:///C:\Users\Outlet\AppData\Roaming\Microsoft\Excel\01)%20RRHH\LORENZINI,%20Franco\MD%20Lorenzini%20VTO%2022-03-2020.pdf" TargetMode="External"/><Relationship Id="rId30" Type="http://schemas.openxmlformats.org/officeDocument/2006/relationships/hyperlink" Target="file:///C:\Users\Outlet\AppData\Roaming\Microsoft\Excel\01)%20RRHH\FREIRE%20JOSE%20LUCIANO\MD%20vto%2008-08-2021.pdf" TargetMode="External"/><Relationship Id="rId35" Type="http://schemas.openxmlformats.org/officeDocument/2006/relationships/hyperlink" Target="file:///C:\Users\Outlet\AppData\Roaming\Microsoft\Excel\01)%20RRHH\MENDEZ%20JUAN%20IGNACIO\Ex.%20Preocupacional%2027-08-2019.pdf" TargetMode="External"/><Relationship Id="rId8" Type="http://schemas.openxmlformats.org/officeDocument/2006/relationships/hyperlink" Target="file:///C:\Users\Outlet\AppData\Roaming\Microsoft\Excel\01)%20RRHH\BALASTEGUI,%20Pablo\Carnet%20Balastegui%20vto%2022-09-2019.pdf" TargetMode="External"/><Relationship Id="rId3" Type="http://schemas.openxmlformats.org/officeDocument/2006/relationships/hyperlink" Target="file:///C:\Users\Outlet\AppData\Roaming\Microsoft\Excel\01)%20RRHH\FERRADA%20GASTON\LICENCIA%20DE%20CONDUCIR%20VTO%2011-02-2021.pdf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file:///C:\Users\Outlet\AppData\Roaming\Microsoft\Excel\01)%20RRHH\MERI&#209;O,%20Guillermo\Periodico%20Meri&#241;o%20vto%2018-09-2018.pdf" TargetMode="External"/><Relationship Id="rId18" Type="http://schemas.openxmlformats.org/officeDocument/2006/relationships/hyperlink" Target="file:///C:\Users\Outlet\AppData\Roaming\Microsoft\Excel\01)%20RRHH\GIMENEZ,%20Mario%20Luis\PREOCUPACIONAL.pdf" TargetMode="External"/><Relationship Id="rId26" Type="http://schemas.openxmlformats.org/officeDocument/2006/relationships/hyperlink" Target="file:///C:\Users\Outlet\AppData\Roaming\Microsoft\Excel\01)%20RRHH\PIZARRO,%20Lissette\Carnet%20conducir%20Lissette.P.pdf" TargetMode="External"/><Relationship Id="rId39" Type="http://schemas.openxmlformats.org/officeDocument/2006/relationships/hyperlink" Target="file:///C:\Users\Outlet\AppData\Roaming\Microsoft\Excel\01)%20RRHH\LEON%20MARIELA\ex%20preocupacional%2029-08-2018.pdf" TargetMode="External"/><Relationship Id="rId21" Type="http://schemas.openxmlformats.org/officeDocument/2006/relationships/hyperlink" Target="file:///C:\Users\Outlet\AppData\Roaming\Microsoft\Excel\01)%20RRHH\ORTEGA,%20Ignacio%20Jos&#233;\MD%20Ortega%20VTO%2022-03-2020.pdf" TargetMode="External"/><Relationship Id="rId34" Type="http://schemas.openxmlformats.org/officeDocument/2006/relationships/hyperlink" Target="file:///C:\Users\Outlet\AppData\Roaming\Microsoft\Excel\01)%20RRHH\ARANGUEZ,%20Fernando\CARNET%20ARANGUEZ%20FERNANDO%20ALFREDO%2016-01-2017.pdf" TargetMode="External"/><Relationship Id="rId42" Type="http://schemas.openxmlformats.org/officeDocument/2006/relationships/hyperlink" Target="file:///C:\Users\Outlet\AppData\Roaming\Microsoft\Excel\01)%20RRHH\LUJAN,%20ROBERTO%20SANTOS\LUJAN%20LICENCIA%20VTO%2006112018.pdf" TargetMode="External"/><Relationship Id="rId47" Type="http://schemas.openxmlformats.org/officeDocument/2006/relationships/hyperlink" Target="file:///C:\Users\Outlet\AppData\Roaming\Microsoft\Excel\01)%20RRHH\OLIVA,%20ANGEL%20DAVID\pre%20ocupacional%20%20vto%2002-11-2019.pdf" TargetMode="External"/><Relationship Id="rId7" Type="http://schemas.openxmlformats.org/officeDocument/2006/relationships/hyperlink" Target="file:///C:\Users\Outlet\AppData\Roaming\Microsoft\Excel\01)%20RRHH\IBA&#209;EZ,%20Nelson\periodico.pdf" TargetMode="External"/><Relationship Id="rId2" Type="http://schemas.openxmlformats.org/officeDocument/2006/relationships/hyperlink" Target="file:///C:\Users\Outlet\AppData\Roaming\Microsoft\Excel\01)%20RRHH\MARENGO,%20Matias\2016-02-07%20MD%20VTO%2006-02-2018.doc" TargetMode="External"/><Relationship Id="rId16" Type="http://schemas.openxmlformats.org/officeDocument/2006/relationships/hyperlink" Target="file:///C:\Users\Outlet\AppData\Roaming\Microsoft\Excel\01)%20RRHH\GIMENEZ,%20Mario%20Luis\MD%20VTO%2022-05-2020.pdf" TargetMode="External"/><Relationship Id="rId29" Type="http://schemas.openxmlformats.org/officeDocument/2006/relationships/hyperlink" Target="file:///C:\Users\Outlet\AppData\Roaming\Microsoft\Excel\01)%20RRHH\FUENTES,%20Javier%20Antonio\MD%20VTO%2022-05-2020.pdf" TargetMode="External"/><Relationship Id="rId1" Type="http://schemas.openxmlformats.org/officeDocument/2006/relationships/hyperlink" Target="file:///C:\Users\Outlet\AppData\Roaming\Microsoft\Excel\01)%20RRHH\MARENGO,%20Matias\MARENGO%20carnet%20C.pdf" TargetMode="External"/><Relationship Id="rId6" Type="http://schemas.openxmlformats.org/officeDocument/2006/relationships/hyperlink" Target="file:///C:\Users\Outlet\AppData\Roaming\Microsoft\Excel\01)%20RRHH\CA&#209;ETE,%20Alejandro\PERIODICO%20CA&#209;ETE%2029-09-2017.pdf" TargetMode="External"/><Relationship Id="rId11" Type="http://schemas.openxmlformats.org/officeDocument/2006/relationships/hyperlink" Target="file:///C:\Users\Outlet\AppData\Roaming\Microsoft\Excel\01)%20RRHH\ACIAR,%20Eduardo\carnet%20aciar%20vto%2028-07-2019.pdf" TargetMode="External"/><Relationship Id="rId24" Type="http://schemas.openxmlformats.org/officeDocument/2006/relationships/hyperlink" Target="file:///C:\Users\Outlet\AppData\Roaming\Microsoft\Excel\01)%20RRHH\ALVEAL,%20Sergio\CARNET%20DE%20CONDUCIR%20VTO%2024-03-2019.pdf" TargetMode="External"/><Relationship Id="rId32" Type="http://schemas.openxmlformats.org/officeDocument/2006/relationships/hyperlink" Target="file:///C:\Users\Outlet\AppData\Roaming\Microsoft\Excel\01)%20RRHH\MONTSERRAT,%20Silvana\Periodico%20monserrat%20silvana%20VTO%2010-07-2018.pdf" TargetMode="External"/><Relationship Id="rId37" Type="http://schemas.openxmlformats.org/officeDocument/2006/relationships/hyperlink" Target="file:///C:\Users\Outlet\AppData\Roaming\Microsoft\Excel\01)%20RRHH\GORDILLO,%20DANIEL%20ENRIQUE\LICENCIA%20GORDILLO%20VTO%2024-11-2019.pdf" TargetMode="External"/><Relationship Id="rId40" Type="http://schemas.openxmlformats.org/officeDocument/2006/relationships/hyperlink" Target="file:///C:\Users\Outlet\AppData\Roaming\Microsoft\Excel\01)%20RRHH\PE&#209;A%20RAMOS%20DARIO\Pe&#241;a%20Ramos%20Ramon%20-%20S%20%20Naser.pdf" TargetMode="External"/><Relationship Id="rId45" Type="http://schemas.openxmlformats.org/officeDocument/2006/relationships/hyperlink" Target="file:///C:\Users\Outlet\AppData\Roaming\Microsoft\Excel\01)%20RRHH\LUJAN,%20ROBERTO%20SANTOS\psicofisico%20cargas%20grales.pdf" TargetMode="External"/><Relationship Id="rId5" Type="http://schemas.openxmlformats.org/officeDocument/2006/relationships/hyperlink" Target="file:///C:\Users\Outlet\AppData\Roaming\Microsoft\Excel\01)%20RRHH\CA&#209;ETE,%20Alejandro\MD%20VTO25-02-2018.pdf" TargetMode="External"/><Relationship Id="rId15" Type="http://schemas.openxmlformats.org/officeDocument/2006/relationships/hyperlink" Target="file:///C:\Users\Outlet\AppData\Roaming\Microsoft\Excel\01)%20RRHH\MERI&#209;O,%20Guillermo\MD%20VTO%20%2006-10-18.pdf" TargetMode="External"/><Relationship Id="rId23" Type="http://schemas.openxmlformats.org/officeDocument/2006/relationships/hyperlink" Target="file:///C:\Users\Outlet\AppData\Roaming\Microsoft\Excel\01)%20RRHH\ALVEAL,%20Sergio\MD%20VTO%2020-03-2020.pdf" TargetMode="External"/><Relationship Id="rId28" Type="http://schemas.openxmlformats.org/officeDocument/2006/relationships/hyperlink" Target="file:///C:\Users\Outlet\AppData\Roaming\Microsoft\Excel\01)%20RRHH\FUENTES,%20Javier%20Antonio\CARNET%20DE%20CONDUCIR.pdf" TargetMode="External"/><Relationship Id="rId36" Type="http://schemas.openxmlformats.org/officeDocument/2006/relationships/hyperlink" Target="file:///C:\Users\Outlet\AppData\Roaming\Microsoft\Excel\01)%20RRHH\GORDILLO,%20DANIEL%20ENRIQUE\ex%20preocupacional%2007-09-2019.pdf" TargetMode="External"/><Relationship Id="rId10" Type="http://schemas.openxmlformats.org/officeDocument/2006/relationships/hyperlink" Target="file:///C:\Users\Outlet\AppData\Roaming\Microsoft\Excel\01)%20RRHH\ACIAR,%20Eduardo\PERIODICO%20ACIAR%2014-03-2018.pdf" TargetMode="External"/><Relationship Id="rId19" Type="http://schemas.openxmlformats.org/officeDocument/2006/relationships/hyperlink" Target="file:///C:\Users\Outlet\AppData\Roaming\Microsoft\Excel\01)%20RRHH\ORTEGA,%20Ignacio%20Jos&#233;\CNRT.pdf" TargetMode="External"/><Relationship Id="rId31" Type="http://schemas.openxmlformats.org/officeDocument/2006/relationships/hyperlink" Target="file:///C:\Users\Outlet\AppData\Roaming\Microsoft\Excel\01)%20RRHH\MONTSERRAT,%20Silvana\CARNET%20DE%20CONDUCIR%20VTO%2028-05-2023.pdf" TargetMode="External"/><Relationship Id="rId44" Type="http://schemas.openxmlformats.org/officeDocument/2006/relationships/hyperlink" Target="file:///C:\Users\Outlet\AppData\Roaming\Microsoft\Excel\01)%20RRHH\LUJAN,%20ROBERTO%20SANTOS\MD%20LUJANpdf.pdf" TargetMode="External"/><Relationship Id="rId4" Type="http://schemas.openxmlformats.org/officeDocument/2006/relationships/hyperlink" Target="file:///C:\Users\Outlet\AppData\Roaming\Microsoft\Excel\01)%20RRHH\CA&#209;ETE,%20Alejandro\Carnet%20categoria%20C.pdf" TargetMode="External"/><Relationship Id="rId9" Type="http://schemas.openxmlformats.org/officeDocument/2006/relationships/hyperlink" Target="file:///C:\Users\Outlet\AppData\Roaming\Microsoft\Excel\01)%20RRHH\IBA&#209;EZ,%20Nelson\CARNET%20IBA&#209;EZ%20E.%2010-07-2017.pdf" TargetMode="External"/><Relationship Id="rId14" Type="http://schemas.openxmlformats.org/officeDocument/2006/relationships/hyperlink" Target="file:///C:\Users\Outlet\AppData\Roaming\Microsoft\Excel\01)%20RRHH\MERI&#209;O,%20Guillermo\MERI&#209;O%20Carnet%20E%20VTO%2012-02-2019.pdf" TargetMode="External"/><Relationship Id="rId22" Type="http://schemas.openxmlformats.org/officeDocument/2006/relationships/hyperlink" Target="file:///C:\Users\Outlet\AppData\Roaming\Microsoft\Excel\01)%20RRHH\ORTEGA,%20Ignacio%20Jos&#233;\CARNET%20C-D-E%20Ortega%20Jose.pdf" TargetMode="External"/><Relationship Id="rId27" Type="http://schemas.openxmlformats.org/officeDocument/2006/relationships/hyperlink" Target="file:///C:\Users\Outlet\AppData\Roaming\Microsoft\Excel\01)%20RRHH\FUENTES,%20Javier%20Antonio\Examen%20preocupacional.pdf" TargetMode="External"/><Relationship Id="rId30" Type="http://schemas.openxmlformats.org/officeDocument/2006/relationships/hyperlink" Target="file:///C:\Users\Outlet\AppData\Roaming\Microsoft\Excel\01)%20RRHH\MONTSERRAT,%20Silvana\MONSERRAT%20S.%20MD.pdf" TargetMode="External"/><Relationship Id="rId35" Type="http://schemas.openxmlformats.org/officeDocument/2006/relationships/hyperlink" Target="file:///C:\Users\Outlet\AppData\Roaming\Microsoft\Excel\01)%20RRHH\ARANGUEZ,%20Fernando\MD%20ARANGUEZ%2026-01-2019.pdf" TargetMode="External"/><Relationship Id="rId43" Type="http://schemas.openxmlformats.org/officeDocument/2006/relationships/hyperlink" Target="file:///C:\Users\Outlet\AppData\Roaming\Microsoft\Excel\01)%20RRHH\GORDILLO,%20DANIEL%20ENRIQUE\ex%20preocupacional%2007-09-2019.pdf" TargetMode="External"/><Relationship Id="rId48" Type="http://schemas.openxmlformats.org/officeDocument/2006/relationships/printerSettings" Target="../printerSettings/printerSettings6.bin"/><Relationship Id="rId8" Type="http://schemas.openxmlformats.org/officeDocument/2006/relationships/hyperlink" Target="file:///C:\Users\Outlet\AppData\Roaming\Microsoft\Excel\01)%20RRHH\IBA&#209;EZ,%20Nelson\MD%20VTO%2004-07-2019.pdf" TargetMode="External"/><Relationship Id="rId3" Type="http://schemas.openxmlformats.org/officeDocument/2006/relationships/hyperlink" Target="file:///C:\Users\Outlet\AppData\Roaming\Microsoft\Excel\01)%20RRHH\MARENGO,%20Matias\PERIODICO%20MARENGO%2029-09-2017.pdf" TargetMode="External"/><Relationship Id="rId12" Type="http://schemas.openxmlformats.org/officeDocument/2006/relationships/hyperlink" Target="file:///C:\Users\Outlet\AppData\Roaming\Microsoft\Excel\01)%20RRHH\ACIAR,%20Eduardo\MD%20VTO%2029-08-2019.pdf" TargetMode="External"/><Relationship Id="rId17" Type="http://schemas.openxmlformats.org/officeDocument/2006/relationships/hyperlink" Target="file:///C:\Users\Outlet\AppData\Roaming\Microsoft\Excel\01)%20RRHH\GIMENEZ,%20Mario%20Luis\CARNET%20GIMENEZ%20MARIO.pdf" TargetMode="External"/><Relationship Id="rId25" Type="http://schemas.openxmlformats.org/officeDocument/2006/relationships/hyperlink" Target="file:///C:\Users\Outlet\AppData\Roaming\Microsoft\Excel\01)%20RRHH\ALVEAL,%20Sergio\VTO%2024-05-2018Examen%20periodico%20Alveal%20Sergio.pdf" TargetMode="External"/><Relationship Id="rId33" Type="http://schemas.openxmlformats.org/officeDocument/2006/relationships/hyperlink" Target="file:///C:\Users\Outlet\AppData\Roaming\Microsoft\Excel\01)%20RRHH\ARANGUEZ,%20Fernando\Periodico%20vto%2005-02-2019.pdf" TargetMode="External"/><Relationship Id="rId38" Type="http://schemas.openxmlformats.org/officeDocument/2006/relationships/hyperlink" Target="file:///C:\Users\Outlet\AppData\Roaming\Microsoft\Excel\01)%20RRHH\LEON%20MARIELA\CARNET%20CONDUCIR%20LEON%20MARIELA.pdf" TargetMode="External"/><Relationship Id="rId46" Type="http://schemas.openxmlformats.org/officeDocument/2006/relationships/hyperlink" Target="file:///C:\Users\Outlet\AppData\Roaming\Microsoft\Excel\01)%20RRHH\OLIVA,%20ANGEL%20DAVID\LICENCIA%20OLIVA.pdf" TargetMode="External"/><Relationship Id="rId20" Type="http://schemas.openxmlformats.org/officeDocument/2006/relationships/hyperlink" Target="file:///C:\Users\Outlet\AppData\Roaming\Microsoft\Excel\01)%20RRHH\ORTEGA,%20Ignacio%20Jos&#233;\PERIODICO%20ORTEGA%2013-12-2017.pdf" TargetMode="External"/><Relationship Id="rId41" Type="http://schemas.openxmlformats.org/officeDocument/2006/relationships/hyperlink" Target="file:///C:\Users\Outlet\AppData\Roaming\Microsoft\Excel\01)%20RRHH\PE&#209;A%20RAMOS%20DARIO\licencia%20de%20conducir%20vto%2008-06-2023.pdf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3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4"/>
  <sheetViews>
    <sheetView tabSelected="1" workbookViewId="0">
      <selection activeCell="I13" sqref="I13"/>
    </sheetView>
  </sheetViews>
  <sheetFormatPr baseColWidth="10" defaultRowHeight="15.5" x14ac:dyDescent="0.35"/>
  <cols>
    <col min="1" max="1" width="6.3046875" bestFit="1" customWidth="1"/>
    <col min="2" max="2" width="9.4609375" bestFit="1" customWidth="1"/>
    <col min="3" max="3" width="30.3046875" customWidth="1"/>
    <col min="4" max="4" width="8.4609375" customWidth="1"/>
    <col min="5" max="5" width="11.07421875" customWidth="1"/>
    <col min="6" max="7" width="13.4609375" customWidth="1"/>
    <col min="8" max="9" width="11.53515625" customWidth="1"/>
    <col min="10" max="10" width="8.23046875" customWidth="1"/>
    <col min="11" max="11" width="11.23046875" customWidth="1"/>
    <col min="12" max="12" width="17.765625" customWidth="1"/>
    <col min="13" max="13" width="15.3046875" customWidth="1"/>
    <col min="14" max="14" width="33.4609375" customWidth="1"/>
    <col min="15" max="15" width="35.69140625" customWidth="1"/>
    <col min="16" max="16" width="31.3046875" customWidth="1"/>
    <col min="17" max="17" width="30.53515625" bestFit="1" customWidth="1"/>
    <col min="18" max="18" width="6.3046875" customWidth="1"/>
    <col min="19" max="19" width="16" customWidth="1"/>
    <col min="20" max="20" width="10.3046875" customWidth="1"/>
    <col min="21" max="21" width="9.69140625" customWidth="1"/>
    <col min="22" max="22" width="17.53515625" customWidth="1"/>
    <col min="23" max="24" width="24.765625" customWidth="1"/>
    <col min="25" max="25" width="8.3046875" customWidth="1"/>
    <col min="26" max="26" width="3.07421875" customWidth="1"/>
    <col min="27" max="27" width="3.53515625" customWidth="1"/>
    <col min="28" max="28" width="3.69140625" customWidth="1"/>
    <col min="29" max="30" width="12.765625" customWidth="1"/>
    <col min="31" max="31" width="11.4609375" customWidth="1"/>
    <col min="32" max="32" width="0" hidden="1" customWidth="1"/>
    <col min="33" max="34" width="13" customWidth="1"/>
    <col min="35" max="35" width="0" hidden="1" customWidth="1"/>
    <col min="36" max="37" width="13.4609375" customWidth="1"/>
    <col min="38" max="38" width="11.53515625" customWidth="1"/>
    <col min="39" max="39" width="13.53515625" bestFit="1" customWidth="1"/>
    <col min="40" max="40" width="11.53515625" customWidth="1"/>
    <col min="41" max="41" width="0" hidden="1" customWidth="1"/>
    <col min="42" max="42" width="11.53515625" customWidth="1"/>
    <col min="43" max="43" width="15.4609375" bestFit="1" customWidth="1"/>
    <col min="44" max="47" width="15.4609375" customWidth="1"/>
    <col min="48" max="49" width="11.53515625" customWidth="1"/>
    <col min="50" max="50" width="11.53515625"/>
  </cols>
  <sheetData>
    <row r="1" spans="1:53" x14ac:dyDescent="0.35">
      <c r="A1" s="494"/>
      <c r="B1" s="494"/>
      <c r="C1" s="495" t="s">
        <v>983</v>
      </c>
      <c r="D1" s="495"/>
      <c r="E1" s="495"/>
      <c r="F1" s="495"/>
      <c r="G1" s="495"/>
      <c r="H1" s="496" t="s">
        <v>984</v>
      </c>
      <c r="I1" s="528"/>
      <c r="J1" s="13"/>
      <c r="K1" s="13"/>
      <c r="L1" s="13"/>
      <c r="M1" s="13"/>
      <c r="N1" s="12"/>
      <c r="O1" s="12"/>
      <c r="P1" s="12"/>
      <c r="Q1" s="12"/>
      <c r="R1" s="13"/>
      <c r="S1" s="12"/>
      <c r="T1" s="12"/>
      <c r="U1" s="13"/>
      <c r="V1" s="309"/>
      <c r="W1" s="12"/>
      <c r="X1" s="12"/>
      <c r="Y1" s="12"/>
      <c r="Z1" s="12"/>
      <c r="AA1" s="12"/>
      <c r="AB1" s="12"/>
      <c r="AC1" s="12"/>
      <c r="AD1" s="12"/>
      <c r="AE1" s="12"/>
      <c r="AF1" s="13"/>
      <c r="AG1" s="13"/>
      <c r="AH1" s="13"/>
      <c r="AI1" s="81"/>
      <c r="AJ1" s="13"/>
      <c r="AK1" s="13"/>
      <c r="AL1" s="81"/>
      <c r="AM1" s="13"/>
      <c r="AN1" s="13"/>
      <c r="AO1" s="12"/>
      <c r="AP1" s="13"/>
      <c r="AQ1" s="13"/>
      <c r="AR1" s="13"/>
      <c r="AS1" s="13"/>
      <c r="AT1" s="13"/>
      <c r="AU1" s="13"/>
      <c r="AV1" s="12"/>
      <c r="AW1" s="309"/>
      <c r="AX1" s="309"/>
    </row>
    <row r="2" spans="1:53" x14ac:dyDescent="0.35">
      <c r="A2" s="494"/>
      <c r="B2" s="494"/>
      <c r="C2" s="495"/>
      <c r="D2" s="495"/>
      <c r="E2" s="495"/>
      <c r="F2" s="495"/>
      <c r="G2" s="495"/>
      <c r="H2" s="497"/>
      <c r="I2" s="529"/>
      <c r="J2" s="13"/>
      <c r="K2" s="13"/>
      <c r="L2" s="13"/>
      <c r="M2" s="13"/>
      <c r="N2" s="12"/>
      <c r="O2" s="12"/>
      <c r="P2" s="12"/>
      <c r="Q2" s="12"/>
      <c r="R2" s="13"/>
      <c r="S2" s="12"/>
      <c r="T2" s="12"/>
      <c r="U2" s="13"/>
      <c r="V2" s="309"/>
      <c r="W2" s="12"/>
      <c r="X2" s="12"/>
      <c r="Y2" s="12"/>
      <c r="Z2" s="12"/>
      <c r="AA2" s="12"/>
      <c r="AB2" s="12"/>
      <c r="AC2" s="12"/>
      <c r="AD2" s="12"/>
      <c r="AE2" s="12"/>
      <c r="AF2" s="13"/>
      <c r="AG2" s="13"/>
      <c r="AH2" s="13"/>
      <c r="AI2" s="81"/>
      <c r="AJ2" s="13"/>
      <c r="AK2" s="13"/>
      <c r="AL2" s="81"/>
      <c r="AM2" s="13"/>
      <c r="AN2" s="13"/>
      <c r="AO2" s="12"/>
      <c r="AP2" s="13"/>
      <c r="AQ2" s="13"/>
      <c r="AR2" s="13"/>
      <c r="AS2" s="13"/>
      <c r="AT2" s="13"/>
      <c r="AU2" s="13"/>
      <c r="AV2" s="12"/>
      <c r="AW2" s="309"/>
      <c r="AX2" s="309"/>
    </row>
    <row r="3" spans="1:53" x14ac:dyDescent="0.35">
      <c r="A3" s="494"/>
      <c r="B3" s="494"/>
      <c r="C3" s="495"/>
      <c r="D3" s="495"/>
      <c r="E3" s="495"/>
      <c r="F3" s="495"/>
      <c r="G3" s="495"/>
      <c r="H3" s="497"/>
      <c r="I3" s="529"/>
      <c r="J3" s="13"/>
      <c r="K3" s="13"/>
      <c r="L3" s="13"/>
      <c r="M3" s="13"/>
      <c r="N3" s="12"/>
      <c r="O3" s="12"/>
      <c r="P3" s="12"/>
      <c r="Q3" s="12"/>
      <c r="R3" s="13"/>
      <c r="S3" s="12"/>
      <c r="T3" s="12"/>
      <c r="U3" s="13"/>
      <c r="V3" s="309"/>
      <c r="W3" s="12"/>
      <c r="X3" s="12"/>
      <c r="Y3" s="12"/>
      <c r="Z3" s="12"/>
      <c r="AA3" s="12"/>
      <c r="AB3" s="12"/>
      <c r="AC3" s="12"/>
      <c r="AD3" s="12"/>
      <c r="AE3" s="12"/>
      <c r="AF3" s="13"/>
      <c r="AG3" s="13"/>
      <c r="AH3" s="13"/>
      <c r="AI3" s="81"/>
      <c r="AJ3" s="13"/>
      <c r="AK3" s="13"/>
      <c r="AL3" s="81"/>
      <c r="AM3" s="13"/>
      <c r="AN3" s="13"/>
      <c r="AO3" s="12"/>
      <c r="AP3" s="13"/>
      <c r="AQ3" s="13"/>
      <c r="AR3" s="13"/>
      <c r="AS3" s="13"/>
      <c r="AT3" s="13"/>
      <c r="AU3" s="13"/>
      <c r="AV3" s="12"/>
      <c r="AW3" s="309"/>
      <c r="AX3" s="309"/>
    </row>
    <row r="4" spans="1:53" ht="16" thickBot="1" x14ac:dyDescent="0.4">
      <c r="A4" s="12"/>
      <c r="B4" s="13"/>
      <c r="C4" s="12"/>
      <c r="D4" s="12"/>
      <c r="E4" s="44"/>
      <c r="F4" s="44"/>
      <c r="G4" s="44"/>
      <c r="H4" s="81"/>
      <c r="I4" s="81"/>
      <c r="J4" s="13"/>
      <c r="K4" s="13"/>
      <c r="L4" s="13"/>
      <c r="M4" s="13"/>
      <c r="N4" s="12"/>
      <c r="O4" s="12"/>
      <c r="P4" s="12"/>
      <c r="Q4" s="12"/>
      <c r="R4" s="13"/>
      <c r="S4" s="12"/>
      <c r="T4" s="12"/>
      <c r="U4" s="13"/>
      <c r="V4" s="309"/>
      <c r="W4" s="12"/>
      <c r="X4" s="12"/>
      <c r="Y4" s="12"/>
      <c r="Z4" s="12"/>
      <c r="AA4" s="12"/>
      <c r="AB4" s="12"/>
      <c r="AC4" s="12"/>
      <c r="AD4" s="12"/>
      <c r="AE4" s="12"/>
      <c r="AF4" s="13"/>
      <c r="AG4" s="13"/>
      <c r="AH4" s="13"/>
      <c r="AI4" s="81"/>
      <c r="AJ4" s="13"/>
      <c r="AK4" s="13"/>
      <c r="AL4" s="81"/>
      <c r="AM4" s="13"/>
      <c r="AN4" s="13"/>
      <c r="AO4" s="12"/>
      <c r="AP4" s="13"/>
      <c r="AQ4" s="13"/>
      <c r="AR4" s="13"/>
      <c r="AS4" s="13"/>
      <c r="AT4" s="13"/>
      <c r="AU4" s="13"/>
      <c r="AV4" s="12"/>
      <c r="AW4" s="309"/>
      <c r="AX4" s="309"/>
    </row>
    <row r="5" spans="1:53" ht="16" customHeight="1" thickBot="1" x14ac:dyDescent="0.4">
      <c r="A5" s="480" t="s">
        <v>1018</v>
      </c>
      <c r="B5" s="481"/>
      <c r="C5" s="481"/>
      <c r="D5" s="530"/>
      <c r="E5" s="28"/>
      <c r="F5" s="28"/>
      <c r="G5" s="28"/>
      <c r="H5" s="77">
        <f ca="1">+TODAY()</f>
        <v>45939</v>
      </c>
      <c r="I5" s="77"/>
      <c r="J5" s="29"/>
      <c r="K5" s="29"/>
      <c r="L5" s="29"/>
      <c r="M5" s="29"/>
      <c r="N5" s="28"/>
      <c r="O5" s="28"/>
      <c r="P5" s="28"/>
      <c r="Q5" s="28"/>
      <c r="R5" s="210"/>
      <c r="S5" s="28"/>
      <c r="T5" s="28"/>
      <c r="U5" s="29"/>
      <c r="V5" s="399"/>
      <c r="W5" s="28"/>
      <c r="X5" s="28"/>
      <c r="Y5" s="28"/>
      <c r="Z5" s="28"/>
      <c r="AA5" s="28"/>
      <c r="AB5" s="28"/>
      <c r="AC5" s="28"/>
      <c r="AD5" s="28"/>
      <c r="AE5" s="28"/>
      <c r="AF5" s="210"/>
      <c r="AG5" s="210"/>
      <c r="AH5" s="210"/>
      <c r="AI5" s="374"/>
      <c r="AJ5" s="210"/>
      <c r="AK5" s="210"/>
      <c r="AL5" s="374"/>
      <c r="AM5" s="210"/>
      <c r="AN5" s="210"/>
      <c r="AO5" s="30"/>
      <c r="AP5" s="210"/>
      <c r="AQ5" s="210"/>
      <c r="AR5" s="210"/>
      <c r="AS5" s="210"/>
      <c r="AT5" s="210"/>
      <c r="AU5" s="210"/>
      <c r="AV5" s="30"/>
      <c r="AW5" s="306"/>
      <c r="AX5" s="306"/>
    </row>
    <row r="6" spans="1:53" ht="26.5" thickBot="1" x14ac:dyDescent="0.4">
      <c r="A6" s="498" t="s">
        <v>99</v>
      </c>
      <c r="B6" s="483" t="s">
        <v>173</v>
      </c>
      <c r="C6" s="483" t="s">
        <v>174</v>
      </c>
      <c r="D6" s="483" t="s">
        <v>183</v>
      </c>
      <c r="E6" s="483" t="s">
        <v>0</v>
      </c>
      <c r="F6" s="500" t="s">
        <v>952</v>
      </c>
      <c r="G6" s="500" t="s">
        <v>561</v>
      </c>
      <c r="H6" s="483" t="s">
        <v>1013</v>
      </c>
      <c r="I6" s="500" t="s">
        <v>1012</v>
      </c>
      <c r="J6" s="483" t="s">
        <v>1014</v>
      </c>
      <c r="K6" s="483" t="s">
        <v>175</v>
      </c>
      <c r="L6" s="483" t="s">
        <v>192</v>
      </c>
      <c r="M6" s="483" t="s">
        <v>768</v>
      </c>
      <c r="N6" s="483" t="s">
        <v>176</v>
      </c>
      <c r="O6" s="483" t="s">
        <v>186</v>
      </c>
      <c r="P6" s="483" t="s">
        <v>1026</v>
      </c>
      <c r="Q6" s="483" t="s">
        <v>1027</v>
      </c>
      <c r="R6" s="483" t="s">
        <v>8</v>
      </c>
      <c r="S6" s="483" t="s">
        <v>1015</v>
      </c>
      <c r="T6" s="483" t="s">
        <v>196</v>
      </c>
      <c r="U6" s="483" t="s">
        <v>1016</v>
      </c>
      <c r="V6" s="483" t="s">
        <v>1017</v>
      </c>
      <c r="W6" s="483" t="s">
        <v>972</v>
      </c>
      <c r="X6" s="483" t="s">
        <v>988</v>
      </c>
      <c r="Y6" s="483" t="s">
        <v>190</v>
      </c>
      <c r="Z6" s="483" t="s">
        <v>1028</v>
      </c>
      <c r="AA6" s="483"/>
      <c r="AB6" s="483"/>
      <c r="AC6" s="483" t="s">
        <v>991</v>
      </c>
      <c r="AD6" s="483" t="s">
        <v>992</v>
      </c>
      <c r="AE6" s="485" t="s">
        <v>1019</v>
      </c>
      <c r="AF6" s="488" t="s">
        <v>1001</v>
      </c>
      <c r="AG6" s="489"/>
      <c r="AH6" s="490"/>
      <c r="AI6" s="482" t="s">
        <v>1000</v>
      </c>
      <c r="AJ6" s="478"/>
      <c r="AK6" s="479"/>
      <c r="AL6" s="491" t="s">
        <v>349</v>
      </c>
      <c r="AM6" s="492"/>
      <c r="AN6" s="492"/>
      <c r="AO6" s="493"/>
      <c r="AP6" s="442" t="s">
        <v>993</v>
      </c>
      <c r="AQ6" s="478" t="s">
        <v>995</v>
      </c>
      <c r="AR6" s="478"/>
      <c r="AS6" s="479"/>
      <c r="AT6" s="456" t="s">
        <v>996</v>
      </c>
      <c r="AU6" s="442" t="s">
        <v>999</v>
      </c>
      <c r="AV6" s="478" t="s">
        <v>1004</v>
      </c>
      <c r="AW6" s="478"/>
      <c r="AX6" s="479"/>
      <c r="AY6" s="478" t="s">
        <v>1020</v>
      </c>
      <c r="AZ6" s="478"/>
      <c r="BA6" s="479"/>
    </row>
    <row r="7" spans="1:53" ht="16" thickBot="1" x14ac:dyDescent="0.4">
      <c r="A7" s="499"/>
      <c r="B7" s="484"/>
      <c r="C7" s="484"/>
      <c r="D7" s="484"/>
      <c r="E7" s="484"/>
      <c r="F7" s="501"/>
      <c r="G7" s="501"/>
      <c r="H7" s="484"/>
      <c r="I7" s="501"/>
      <c r="J7" s="484"/>
      <c r="K7" s="484"/>
      <c r="L7" s="484"/>
      <c r="M7" s="484"/>
      <c r="N7" s="484"/>
      <c r="O7" s="484"/>
      <c r="P7" s="484"/>
      <c r="Q7" s="484"/>
      <c r="R7" s="484"/>
      <c r="S7" s="484"/>
      <c r="T7" s="484"/>
      <c r="U7" s="484"/>
      <c r="V7" s="484"/>
      <c r="W7" s="484"/>
      <c r="X7" s="484"/>
      <c r="Y7" s="484"/>
      <c r="Z7" s="463" t="s">
        <v>187</v>
      </c>
      <c r="AA7" s="463" t="s">
        <v>188</v>
      </c>
      <c r="AB7" s="463" t="s">
        <v>189</v>
      </c>
      <c r="AC7" s="484"/>
      <c r="AD7" s="484"/>
      <c r="AE7" s="486"/>
      <c r="AF7" s="442" t="s">
        <v>346</v>
      </c>
      <c r="AG7" s="442" t="s">
        <v>1002</v>
      </c>
      <c r="AH7" s="442" t="s">
        <v>1003</v>
      </c>
      <c r="AI7" s="464" t="s">
        <v>346</v>
      </c>
      <c r="AJ7" s="465" t="s">
        <v>1022</v>
      </c>
      <c r="AK7" s="465" t="s">
        <v>1023</v>
      </c>
      <c r="AL7" s="466" t="s">
        <v>346</v>
      </c>
      <c r="AM7" s="467" t="s">
        <v>845</v>
      </c>
      <c r="AN7" s="467" t="s">
        <v>846</v>
      </c>
      <c r="AO7" s="468" t="s">
        <v>890</v>
      </c>
      <c r="AP7" s="460" t="s">
        <v>1003</v>
      </c>
      <c r="AQ7" s="469" t="s">
        <v>1024</v>
      </c>
      <c r="AR7" s="438" t="s">
        <v>997</v>
      </c>
      <c r="AS7" s="442" t="s">
        <v>998</v>
      </c>
      <c r="AT7" s="442" t="s">
        <v>1003</v>
      </c>
      <c r="AU7" s="442" t="s">
        <v>994</v>
      </c>
      <c r="AV7" s="469" t="s">
        <v>1006</v>
      </c>
      <c r="AW7" s="461" t="s">
        <v>1005</v>
      </c>
      <c r="AX7" s="470" t="s">
        <v>1003</v>
      </c>
      <c r="AY7" s="460" t="s">
        <v>1002</v>
      </c>
      <c r="AZ7" s="461" t="s">
        <v>1025</v>
      </c>
      <c r="BA7" s="461" t="s">
        <v>1021</v>
      </c>
    </row>
    <row r="8" spans="1:53" x14ac:dyDescent="0.35">
      <c r="A8" s="318">
        <v>1</v>
      </c>
      <c r="B8" s="378">
        <v>1</v>
      </c>
      <c r="C8" s="379" t="s">
        <v>16</v>
      </c>
      <c r="D8" s="380">
        <v>17046259</v>
      </c>
      <c r="E8" s="471">
        <v>23170462599</v>
      </c>
      <c r="F8" s="471" t="s">
        <v>953</v>
      </c>
      <c r="G8" s="471" t="s">
        <v>961</v>
      </c>
      <c r="H8" s="462">
        <v>40210</v>
      </c>
      <c r="I8" s="462">
        <f ca="1">DATEDIF(H8,$H$5,"MD")</f>
        <v>8</v>
      </c>
      <c r="J8" s="247"/>
      <c r="K8" s="318" t="s">
        <v>207</v>
      </c>
      <c r="L8" s="385" t="s">
        <v>12</v>
      </c>
      <c r="M8" s="386" t="s">
        <v>239</v>
      </c>
      <c r="N8" s="387" t="s">
        <v>13</v>
      </c>
      <c r="O8" s="387" t="s">
        <v>14</v>
      </c>
      <c r="P8" s="387"/>
      <c r="Q8" s="355" t="s">
        <v>914</v>
      </c>
      <c r="R8" s="386">
        <v>8316</v>
      </c>
      <c r="S8" s="386" t="s">
        <v>4</v>
      </c>
      <c r="T8" s="386" t="s">
        <v>5</v>
      </c>
      <c r="U8" s="462">
        <v>23605</v>
      </c>
      <c r="V8" s="386" t="s">
        <v>151</v>
      </c>
      <c r="W8" s="318" t="s">
        <v>200</v>
      </c>
      <c r="X8" s="318"/>
      <c r="Y8" s="318">
        <f t="shared" ref="Y8:Y27" ca="1" si="0">DATEDIF(U8,$H$5,"Y")</f>
        <v>61</v>
      </c>
      <c r="Z8" s="383">
        <f t="shared" ref="Z8:Z32" ca="1" si="1">DATEDIF(H8,$H$5,"MD")</f>
        <v>8</v>
      </c>
      <c r="AA8" s="383">
        <f t="shared" ref="AA8:AA32" ca="1" si="2">DATEDIF(H8,$H$5,"YM")</f>
        <v>8</v>
      </c>
      <c r="AB8" s="383">
        <f t="shared" ref="AB8:AB32" ca="1" si="3">DATEDIF(H8,$H$5,"Y")</f>
        <v>15</v>
      </c>
      <c r="AC8" s="386"/>
      <c r="AD8" s="386"/>
      <c r="AE8" s="386" t="s">
        <v>31</v>
      </c>
      <c r="AF8" s="386" t="s">
        <v>348</v>
      </c>
      <c r="AG8" s="391"/>
      <c r="AH8" s="391">
        <v>47157</v>
      </c>
      <c r="AI8" s="386"/>
      <c r="AJ8" s="391"/>
      <c r="AK8" s="391"/>
      <c r="AL8" s="386"/>
      <c r="AM8" s="386"/>
      <c r="AN8" s="459"/>
      <c r="AO8" s="459"/>
      <c r="AP8" s="459"/>
      <c r="AQ8" s="459"/>
      <c r="AR8" s="459"/>
      <c r="AS8" s="318"/>
      <c r="AT8" s="318"/>
      <c r="AU8" s="472"/>
      <c r="AV8" s="386" t="s">
        <v>355</v>
      </c>
      <c r="AW8" s="391">
        <v>44931</v>
      </c>
      <c r="AX8" s="462">
        <f>AW8+365</f>
        <v>45296</v>
      </c>
      <c r="AY8" s="386"/>
      <c r="AZ8" s="391"/>
      <c r="BA8" s="462"/>
    </row>
    <row r="9" spans="1:53" x14ac:dyDescent="0.35">
      <c r="A9" s="247">
        <v>2</v>
      </c>
      <c r="B9" s="241">
        <v>3</v>
      </c>
      <c r="C9" s="242" t="s">
        <v>228</v>
      </c>
      <c r="D9" s="303">
        <v>29706122</v>
      </c>
      <c r="E9" s="473">
        <v>20297061225</v>
      </c>
      <c r="F9" s="473" t="s">
        <v>953</v>
      </c>
      <c r="G9" s="473" t="s">
        <v>562</v>
      </c>
      <c r="H9" s="317">
        <v>42522</v>
      </c>
      <c r="I9" s="462">
        <f t="shared" ref="I9:I54" ca="1" si="4">DATEDIF(H9,$H$5,"MD")</f>
        <v>8</v>
      </c>
      <c r="J9" s="247" t="s">
        <v>358</v>
      </c>
      <c r="K9" s="247" t="s">
        <v>207</v>
      </c>
      <c r="L9" s="248" t="s">
        <v>12</v>
      </c>
      <c r="M9" s="249" t="s">
        <v>239</v>
      </c>
      <c r="N9" s="250" t="s">
        <v>429</v>
      </c>
      <c r="O9" s="250" t="s">
        <v>332</v>
      </c>
      <c r="P9" s="250"/>
      <c r="Q9" s="355" t="s">
        <v>917</v>
      </c>
      <c r="R9" s="249">
        <v>8316</v>
      </c>
      <c r="S9" s="249" t="s">
        <v>4</v>
      </c>
      <c r="T9" s="249" t="s">
        <v>5</v>
      </c>
      <c r="U9" s="317">
        <v>30293</v>
      </c>
      <c r="V9" s="249" t="s">
        <v>231</v>
      </c>
      <c r="W9" s="247" t="s">
        <v>200</v>
      </c>
      <c r="X9" s="247"/>
      <c r="Y9" s="247">
        <f t="shared" ca="1" si="0"/>
        <v>42</v>
      </c>
      <c r="Z9" s="245">
        <f t="shared" ca="1" si="1"/>
        <v>8</v>
      </c>
      <c r="AA9" s="245">
        <f t="shared" ca="1" si="2"/>
        <v>4</v>
      </c>
      <c r="AB9" s="245">
        <f t="shared" ca="1" si="3"/>
        <v>9</v>
      </c>
      <c r="AC9" s="249" t="s">
        <v>225</v>
      </c>
      <c r="AD9" s="249"/>
      <c r="AE9" s="249" t="s">
        <v>31</v>
      </c>
      <c r="AF9" s="249" t="s">
        <v>348</v>
      </c>
      <c r="AG9" s="261"/>
      <c r="AH9" s="261">
        <v>45996</v>
      </c>
      <c r="AI9" s="249" t="s">
        <v>348</v>
      </c>
      <c r="AJ9" s="261">
        <v>46451</v>
      </c>
      <c r="AK9" s="261"/>
      <c r="AL9" s="249"/>
      <c r="AM9" s="249"/>
      <c r="AN9" s="435"/>
      <c r="AO9" s="435"/>
      <c r="AP9" s="435"/>
      <c r="AQ9" s="435"/>
      <c r="AR9" s="435"/>
      <c r="AS9" s="247"/>
      <c r="AT9" s="247"/>
      <c r="AU9" s="247"/>
      <c r="AV9" s="249" t="s">
        <v>355</v>
      </c>
      <c r="AW9" s="261">
        <v>45587</v>
      </c>
      <c r="AX9" s="317">
        <f>AW9+365</f>
        <v>45952</v>
      </c>
      <c r="AY9" s="249"/>
      <c r="AZ9" s="261"/>
      <c r="BA9" s="317"/>
    </row>
    <row r="10" spans="1:53" x14ac:dyDescent="0.35">
      <c r="A10" s="247">
        <v>3</v>
      </c>
      <c r="B10" s="258">
        <v>11</v>
      </c>
      <c r="C10" s="255" t="s">
        <v>85</v>
      </c>
      <c r="D10" s="303">
        <v>25611547</v>
      </c>
      <c r="E10" s="474">
        <v>27256115471</v>
      </c>
      <c r="F10" s="473" t="s">
        <v>954</v>
      </c>
      <c r="G10" s="473" t="s">
        <v>957</v>
      </c>
      <c r="H10" s="317">
        <v>40603</v>
      </c>
      <c r="I10" s="462">
        <f t="shared" ca="1" si="4"/>
        <v>8</v>
      </c>
      <c r="J10" s="247"/>
      <c r="K10" s="260" t="s">
        <v>207</v>
      </c>
      <c r="L10" s="248" t="s">
        <v>12</v>
      </c>
      <c r="M10" s="249" t="s">
        <v>239</v>
      </c>
      <c r="N10" s="250" t="s">
        <v>13</v>
      </c>
      <c r="O10" s="250" t="s">
        <v>14</v>
      </c>
      <c r="P10" s="250"/>
      <c r="Q10" s="355" t="s">
        <v>918</v>
      </c>
      <c r="R10" s="249">
        <v>8316</v>
      </c>
      <c r="S10" s="249" t="s">
        <v>4</v>
      </c>
      <c r="T10" s="249" t="s">
        <v>5</v>
      </c>
      <c r="U10" s="317">
        <v>28115</v>
      </c>
      <c r="V10" s="249" t="s">
        <v>153</v>
      </c>
      <c r="W10" s="247" t="s">
        <v>200</v>
      </c>
      <c r="X10" s="247"/>
      <c r="Y10" s="247">
        <f t="shared" ca="1" si="0"/>
        <v>48</v>
      </c>
      <c r="Z10" s="245">
        <f t="shared" ca="1" si="1"/>
        <v>8</v>
      </c>
      <c r="AA10" s="245">
        <f t="shared" ca="1" si="2"/>
        <v>7</v>
      </c>
      <c r="AB10" s="245">
        <f t="shared" ca="1" si="3"/>
        <v>14</v>
      </c>
      <c r="AC10" s="249"/>
      <c r="AD10" s="249"/>
      <c r="AE10" s="249" t="s">
        <v>31</v>
      </c>
      <c r="AF10" s="249" t="s">
        <v>348</v>
      </c>
      <c r="AG10" s="247"/>
      <c r="AH10" s="247"/>
      <c r="AI10" s="249"/>
      <c r="AJ10" s="247"/>
      <c r="AK10" s="247"/>
      <c r="AL10" s="249"/>
      <c r="AM10" s="249"/>
      <c r="AN10" s="435"/>
      <c r="AO10" s="435"/>
      <c r="AP10" s="435"/>
      <c r="AQ10" s="435"/>
      <c r="AR10" s="435"/>
      <c r="AS10" s="247"/>
      <c r="AT10" s="247"/>
      <c r="AU10" s="247"/>
      <c r="AV10" s="249" t="s">
        <v>355</v>
      </c>
      <c r="AW10" s="261"/>
      <c r="AX10" s="317"/>
      <c r="AY10" s="249"/>
      <c r="AZ10" s="261"/>
      <c r="BA10" s="317"/>
    </row>
    <row r="11" spans="1:53" x14ac:dyDescent="0.35">
      <c r="A11" s="247">
        <v>4</v>
      </c>
      <c r="B11" s="258">
        <v>29</v>
      </c>
      <c r="C11" s="255" t="s">
        <v>83</v>
      </c>
      <c r="D11" s="303">
        <v>14175956</v>
      </c>
      <c r="E11" s="474">
        <v>27141759561</v>
      </c>
      <c r="F11" s="473" t="s">
        <v>954</v>
      </c>
      <c r="G11" s="473" t="s">
        <v>968</v>
      </c>
      <c r="H11" s="317">
        <v>40238</v>
      </c>
      <c r="I11" s="462">
        <f t="shared" ca="1" si="4"/>
        <v>8</v>
      </c>
      <c r="J11" s="247">
        <v>108803</v>
      </c>
      <c r="K11" s="260" t="s">
        <v>84</v>
      </c>
      <c r="L11" s="248" t="s">
        <v>12</v>
      </c>
      <c r="M11" s="249" t="s">
        <v>239</v>
      </c>
      <c r="N11" s="250" t="s">
        <v>106</v>
      </c>
      <c r="O11" s="250" t="s">
        <v>327</v>
      </c>
      <c r="P11" s="250"/>
      <c r="R11" s="249">
        <v>8316</v>
      </c>
      <c r="S11" s="249" t="s">
        <v>4</v>
      </c>
      <c r="T11" s="249" t="s">
        <v>5</v>
      </c>
      <c r="U11" s="317">
        <v>21906</v>
      </c>
      <c r="V11" s="249" t="s">
        <v>222</v>
      </c>
      <c r="W11" s="247" t="s">
        <v>245</v>
      </c>
      <c r="X11" s="247"/>
      <c r="Y11" s="247">
        <f t="shared" ca="1" si="0"/>
        <v>65</v>
      </c>
      <c r="Z11" s="245">
        <f t="shared" ca="1" si="1"/>
        <v>8</v>
      </c>
      <c r="AA11" s="245">
        <f t="shared" ca="1" si="2"/>
        <v>7</v>
      </c>
      <c r="AB11" s="245">
        <f t="shared" ca="1" si="3"/>
        <v>15</v>
      </c>
      <c r="AC11" s="317" t="s">
        <v>24</v>
      </c>
      <c r="AD11" s="317" t="s">
        <v>24</v>
      </c>
      <c r="AE11" s="249" t="s">
        <v>216</v>
      </c>
      <c r="AF11" s="249" t="s">
        <v>348</v>
      </c>
      <c r="AG11" s="475"/>
      <c r="AH11" s="475"/>
      <c r="AI11" s="249"/>
      <c r="AJ11" s="247"/>
      <c r="AK11" s="247"/>
      <c r="AL11" s="249"/>
      <c r="AM11" s="317"/>
      <c r="AN11" s="435"/>
      <c r="AO11" s="435"/>
      <c r="AP11" s="435"/>
      <c r="AQ11" s="435"/>
      <c r="AR11" s="435"/>
      <c r="AS11" s="247"/>
      <c r="AT11" s="247"/>
      <c r="AU11" s="247"/>
      <c r="AV11" s="249" t="s">
        <v>355</v>
      </c>
      <c r="AW11" s="261">
        <v>45266</v>
      </c>
      <c r="AX11" s="317">
        <f t="shared" ref="AX11:AX18" si="5">AW11+365</f>
        <v>45631</v>
      </c>
      <c r="AY11" s="249"/>
      <c r="AZ11" s="261"/>
      <c r="BA11" s="317"/>
    </row>
    <row r="12" spans="1:53" x14ac:dyDescent="0.35">
      <c r="A12" s="247">
        <v>5</v>
      </c>
      <c r="B12" s="258">
        <v>84</v>
      </c>
      <c r="C12" s="255" t="s">
        <v>48</v>
      </c>
      <c r="D12" s="303">
        <v>31614712</v>
      </c>
      <c r="E12" s="474">
        <v>20316147128</v>
      </c>
      <c r="F12" s="473" t="s">
        <v>953</v>
      </c>
      <c r="G12" s="473"/>
      <c r="H12" s="317">
        <v>41799</v>
      </c>
      <c r="I12" s="462">
        <f t="shared" ca="1" si="4"/>
        <v>0</v>
      </c>
      <c r="J12" s="247">
        <v>127901</v>
      </c>
      <c r="K12" s="260" t="s">
        <v>208</v>
      </c>
      <c r="L12" s="248" t="s">
        <v>12</v>
      </c>
      <c r="M12" s="249" t="s">
        <v>239</v>
      </c>
      <c r="N12" s="250" t="s">
        <v>119</v>
      </c>
      <c r="O12" s="250" t="s">
        <v>708</v>
      </c>
      <c r="P12" s="476" t="s">
        <v>739</v>
      </c>
      <c r="Q12" s="355" t="s">
        <v>919</v>
      </c>
      <c r="R12" s="249">
        <v>8316</v>
      </c>
      <c r="S12" s="249" t="s">
        <v>4</v>
      </c>
      <c r="T12" s="249" t="s">
        <v>5</v>
      </c>
      <c r="U12" s="317">
        <v>31287</v>
      </c>
      <c r="V12" s="249" t="s">
        <v>156</v>
      </c>
      <c r="W12" s="247" t="s">
        <v>200</v>
      </c>
      <c r="X12" s="247"/>
      <c r="Y12" s="247">
        <f t="shared" ca="1" si="0"/>
        <v>40</v>
      </c>
      <c r="Z12" s="245">
        <f t="shared" ca="1" si="1"/>
        <v>0</v>
      </c>
      <c r="AA12" s="245">
        <f t="shared" ca="1" si="2"/>
        <v>4</v>
      </c>
      <c r="AB12" s="245">
        <f t="shared" ca="1" si="3"/>
        <v>11</v>
      </c>
      <c r="AC12" s="249" t="s">
        <v>98</v>
      </c>
      <c r="AD12" s="249" t="s">
        <v>98</v>
      </c>
      <c r="AE12" s="249" t="s">
        <v>31</v>
      </c>
      <c r="AF12" s="249" t="s">
        <v>348</v>
      </c>
      <c r="AG12" s="261"/>
      <c r="AH12" s="261">
        <v>46047</v>
      </c>
      <c r="AI12" s="249" t="s">
        <v>348</v>
      </c>
      <c r="AJ12" s="261">
        <v>45838</v>
      </c>
      <c r="AK12" s="261"/>
      <c r="AL12" s="249" t="s">
        <v>102</v>
      </c>
      <c r="AM12" s="264"/>
      <c r="AN12" s="436"/>
      <c r="AO12" s="436"/>
      <c r="AP12" s="436">
        <v>45903</v>
      </c>
      <c r="AQ12" s="436"/>
      <c r="AR12" s="435"/>
      <c r="AS12" s="247"/>
      <c r="AT12" s="247"/>
      <c r="AU12" s="247"/>
      <c r="AV12" s="249" t="s">
        <v>355</v>
      </c>
      <c r="AW12" s="261">
        <v>45722</v>
      </c>
      <c r="AX12" s="317">
        <f t="shared" si="5"/>
        <v>46087</v>
      </c>
      <c r="AY12" s="249"/>
      <c r="AZ12" s="261"/>
      <c r="BA12" s="317"/>
    </row>
    <row r="13" spans="1:53" x14ac:dyDescent="0.35">
      <c r="A13" s="247">
        <v>6</v>
      </c>
      <c r="B13" s="258">
        <v>119</v>
      </c>
      <c r="C13" s="255" t="s">
        <v>257</v>
      </c>
      <c r="D13" s="303">
        <v>27646053</v>
      </c>
      <c r="E13" s="474">
        <v>20276460537</v>
      </c>
      <c r="F13" s="473" t="s">
        <v>953</v>
      </c>
      <c r="G13" s="473"/>
      <c r="H13" s="317">
        <v>42957</v>
      </c>
      <c r="I13" s="462">
        <f t="shared" ca="1" si="4"/>
        <v>29</v>
      </c>
      <c r="J13" s="247">
        <v>127901</v>
      </c>
      <c r="K13" s="260" t="s">
        <v>207</v>
      </c>
      <c r="L13" s="248" t="s">
        <v>12</v>
      </c>
      <c r="M13" s="249" t="s">
        <v>239</v>
      </c>
      <c r="N13" s="250" t="s">
        <v>685</v>
      </c>
      <c r="O13" s="250" t="s">
        <v>481</v>
      </c>
      <c r="P13" s="476" t="s">
        <v>582</v>
      </c>
      <c r="Q13" s="355" t="s">
        <v>920</v>
      </c>
      <c r="R13" s="249">
        <v>8300</v>
      </c>
      <c r="S13" s="249" t="s">
        <v>5</v>
      </c>
      <c r="T13" s="249" t="s">
        <v>5</v>
      </c>
      <c r="U13" s="317">
        <v>29107</v>
      </c>
      <c r="V13" s="249" t="s">
        <v>261</v>
      </c>
      <c r="W13" s="247" t="s">
        <v>201</v>
      </c>
      <c r="X13" s="247"/>
      <c r="Y13" s="247">
        <f t="shared" ca="1" si="0"/>
        <v>46</v>
      </c>
      <c r="Z13" s="245">
        <f t="shared" ca="1" si="1"/>
        <v>29</v>
      </c>
      <c r="AA13" s="245">
        <f t="shared" ca="1" si="2"/>
        <v>1</v>
      </c>
      <c r="AB13" s="245">
        <f t="shared" ca="1" si="3"/>
        <v>8</v>
      </c>
      <c r="AC13" s="249" t="s">
        <v>98</v>
      </c>
      <c r="AD13" s="249" t="s">
        <v>98</v>
      </c>
      <c r="AE13" s="249" t="s">
        <v>495</v>
      </c>
      <c r="AF13" s="249" t="s">
        <v>348</v>
      </c>
      <c r="AG13" s="261"/>
      <c r="AH13" s="261">
        <v>47448</v>
      </c>
      <c r="AI13" s="249" t="s">
        <v>348</v>
      </c>
      <c r="AJ13" s="264">
        <v>46431</v>
      </c>
      <c r="AK13" s="264"/>
      <c r="AL13" s="249"/>
      <c r="AM13" s="249"/>
      <c r="AN13" s="436"/>
      <c r="AO13" s="436"/>
      <c r="AP13" s="436"/>
      <c r="AQ13" s="436"/>
      <c r="AR13" s="435"/>
      <c r="AS13" s="247"/>
      <c r="AT13" s="247"/>
      <c r="AU13" s="436"/>
      <c r="AV13" s="249" t="s">
        <v>355</v>
      </c>
      <c r="AW13" s="261">
        <v>45695</v>
      </c>
      <c r="AX13" s="317">
        <f t="shared" si="5"/>
        <v>46060</v>
      </c>
      <c r="AY13" s="249"/>
      <c r="AZ13" s="261"/>
      <c r="BA13" s="317"/>
    </row>
    <row r="14" spans="1:53" x14ac:dyDescent="0.35">
      <c r="A14" s="247">
        <v>7</v>
      </c>
      <c r="B14" s="258">
        <v>120</v>
      </c>
      <c r="C14" s="255" t="s">
        <v>312</v>
      </c>
      <c r="D14" s="303">
        <v>37268412</v>
      </c>
      <c r="E14" s="474">
        <v>20372684128</v>
      </c>
      <c r="F14" s="473" t="s">
        <v>953</v>
      </c>
      <c r="G14" s="473"/>
      <c r="H14" s="317">
        <v>42767</v>
      </c>
      <c r="I14" s="462">
        <f t="shared" ca="1" si="4"/>
        <v>8</v>
      </c>
      <c r="J14" s="247">
        <v>127901</v>
      </c>
      <c r="K14" s="260" t="s">
        <v>208</v>
      </c>
      <c r="L14" s="248" t="s">
        <v>12</v>
      </c>
      <c r="M14" s="249" t="s">
        <v>239</v>
      </c>
      <c r="N14" s="250" t="s">
        <v>119</v>
      </c>
      <c r="O14" s="250" t="s">
        <v>368</v>
      </c>
      <c r="P14" s="476" t="s">
        <v>581</v>
      </c>
      <c r="Q14" s="355" t="s">
        <v>915</v>
      </c>
      <c r="R14" s="249">
        <v>8324</v>
      </c>
      <c r="S14" s="249" t="s">
        <v>2</v>
      </c>
      <c r="T14" s="249" t="s">
        <v>3</v>
      </c>
      <c r="U14" s="317">
        <v>34113</v>
      </c>
      <c r="V14" s="249" t="s">
        <v>311</v>
      </c>
      <c r="W14" s="247" t="s">
        <v>245</v>
      </c>
      <c r="X14" s="247"/>
      <c r="Y14" s="247">
        <f t="shared" ca="1" si="0"/>
        <v>32</v>
      </c>
      <c r="Z14" s="245">
        <f t="shared" ca="1" si="1"/>
        <v>8</v>
      </c>
      <c r="AA14" s="245">
        <f t="shared" ca="1" si="2"/>
        <v>8</v>
      </c>
      <c r="AB14" s="245">
        <f t="shared" ca="1" si="3"/>
        <v>8</v>
      </c>
      <c r="AC14" s="249" t="s">
        <v>98</v>
      </c>
      <c r="AD14" s="249" t="s">
        <v>98</v>
      </c>
      <c r="AE14" s="249" t="s">
        <v>495</v>
      </c>
      <c r="AF14" s="249" t="s">
        <v>348</v>
      </c>
      <c r="AG14" s="261"/>
      <c r="AH14" s="261">
        <v>46897</v>
      </c>
      <c r="AI14" s="249" t="s">
        <v>348</v>
      </c>
      <c r="AJ14" s="261">
        <v>46446</v>
      </c>
      <c r="AK14" s="261"/>
      <c r="AL14" s="249"/>
      <c r="AM14" s="249"/>
      <c r="AN14" s="435"/>
      <c r="AO14" s="435"/>
      <c r="AP14" s="436">
        <v>46412</v>
      </c>
      <c r="AQ14" s="436"/>
      <c r="AR14" s="435"/>
      <c r="AS14" s="354"/>
      <c r="AT14" s="264">
        <v>45432</v>
      </c>
      <c r="AU14" s="247"/>
      <c r="AV14" s="249" t="s">
        <v>355</v>
      </c>
      <c r="AW14" s="261">
        <v>45649</v>
      </c>
      <c r="AX14" s="317">
        <f t="shared" si="5"/>
        <v>46014</v>
      </c>
      <c r="AY14" s="249"/>
      <c r="AZ14" s="261"/>
      <c r="BA14" s="317"/>
    </row>
    <row r="15" spans="1:53" x14ac:dyDescent="0.35">
      <c r="A15" s="247">
        <v>8</v>
      </c>
      <c r="B15" s="258">
        <v>124</v>
      </c>
      <c r="C15" s="255" t="s">
        <v>362</v>
      </c>
      <c r="D15" s="303">
        <v>33464248</v>
      </c>
      <c r="E15" s="474">
        <v>20334642489</v>
      </c>
      <c r="F15" s="473" t="s">
        <v>953</v>
      </c>
      <c r="G15" s="473"/>
      <c r="H15" s="317">
        <v>43031</v>
      </c>
      <c r="I15" s="462">
        <f t="shared" ca="1" si="4"/>
        <v>16</v>
      </c>
      <c r="J15" s="247" t="s">
        <v>389</v>
      </c>
      <c r="K15" s="260" t="s">
        <v>207</v>
      </c>
      <c r="L15" s="248" t="s">
        <v>12</v>
      </c>
      <c r="M15" s="249" t="s">
        <v>239</v>
      </c>
      <c r="N15" s="250" t="s">
        <v>811</v>
      </c>
      <c r="O15" s="250" t="s">
        <v>600</v>
      </c>
      <c r="P15" s="476" t="s">
        <v>589</v>
      </c>
      <c r="Q15" s="355" t="s">
        <v>916</v>
      </c>
      <c r="R15" s="249">
        <v>8300</v>
      </c>
      <c r="S15" s="249" t="s">
        <v>5</v>
      </c>
      <c r="T15" s="249" t="s">
        <v>5</v>
      </c>
      <c r="U15" s="317">
        <v>32075</v>
      </c>
      <c r="V15" s="249" t="s">
        <v>707</v>
      </c>
      <c r="W15" s="247" t="s">
        <v>200</v>
      </c>
      <c r="X15" s="247"/>
      <c r="Y15" s="247">
        <f t="shared" ca="1" si="0"/>
        <v>37</v>
      </c>
      <c r="Z15" s="245">
        <f t="shared" ca="1" si="1"/>
        <v>16</v>
      </c>
      <c r="AA15" s="245">
        <f t="shared" ca="1" si="2"/>
        <v>11</v>
      </c>
      <c r="AB15" s="245">
        <f t="shared" ca="1" si="3"/>
        <v>7</v>
      </c>
      <c r="AC15" s="249" t="s">
        <v>98</v>
      </c>
      <c r="AD15" s="249" t="s">
        <v>98</v>
      </c>
      <c r="AE15" s="249" t="s">
        <v>31</v>
      </c>
      <c r="AF15" s="249" t="s">
        <v>348</v>
      </c>
      <c r="AG15" s="261"/>
      <c r="AH15" s="261">
        <v>45953</v>
      </c>
      <c r="AI15" s="249" t="s">
        <v>348</v>
      </c>
      <c r="AJ15" s="261">
        <v>46290</v>
      </c>
      <c r="AK15" s="261"/>
      <c r="AL15" s="249"/>
      <c r="AM15" s="249"/>
      <c r="AN15" s="435"/>
      <c r="AO15" s="435"/>
      <c r="AP15" s="436">
        <v>45903</v>
      </c>
      <c r="AQ15" s="435"/>
      <c r="AR15" s="435"/>
      <c r="AS15" s="247"/>
      <c r="AT15" s="247"/>
      <c r="AU15" s="247"/>
      <c r="AV15" s="249" t="s">
        <v>355</v>
      </c>
      <c r="AW15" s="261">
        <v>45649</v>
      </c>
      <c r="AX15" s="317">
        <f t="shared" si="5"/>
        <v>46014</v>
      </c>
      <c r="AY15" s="249"/>
      <c r="AZ15" s="261"/>
      <c r="BA15" s="317"/>
    </row>
    <row r="16" spans="1:53" x14ac:dyDescent="0.35">
      <c r="A16" s="247">
        <v>9</v>
      </c>
      <c r="B16" s="258">
        <v>125</v>
      </c>
      <c r="C16" s="255" t="s">
        <v>364</v>
      </c>
      <c r="D16" s="303">
        <v>30857623</v>
      </c>
      <c r="E16" s="474" t="s">
        <v>365</v>
      </c>
      <c r="F16" s="473" t="s">
        <v>953</v>
      </c>
      <c r="G16" s="473"/>
      <c r="H16" s="317">
        <v>43045</v>
      </c>
      <c r="I16" s="462">
        <f t="shared" ca="1" si="4"/>
        <v>3</v>
      </c>
      <c r="J16" s="247" t="s">
        <v>389</v>
      </c>
      <c r="K16" s="260" t="s">
        <v>207</v>
      </c>
      <c r="L16" s="248" t="s">
        <v>12</v>
      </c>
      <c r="M16" s="249" t="s">
        <v>239</v>
      </c>
      <c r="N16" s="250" t="s">
        <v>811</v>
      </c>
      <c r="O16" s="250" t="s">
        <v>366</v>
      </c>
      <c r="P16" s="476" t="s">
        <v>590</v>
      </c>
      <c r="Q16" s="355" t="s">
        <v>921</v>
      </c>
      <c r="R16" s="249">
        <v>8316</v>
      </c>
      <c r="S16" s="249" t="s">
        <v>4</v>
      </c>
      <c r="T16" s="249" t="s">
        <v>5</v>
      </c>
      <c r="U16" s="317">
        <v>30887</v>
      </c>
      <c r="V16" s="249">
        <v>2995073815</v>
      </c>
      <c r="W16" s="247"/>
      <c r="X16" s="247"/>
      <c r="Y16" s="247">
        <f t="shared" ca="1" si="0"/>
        <v>41</v>
      </c>
      <c r="Z16" s="245">
        <f t="shared" ca="1" si="1"/>
        <v>3</v>
      </c>
      <c r="AA16" s="245">
        <f t="shared" ca="1" si="2"/>
        <v>11</v>
      </c>
      <c r="AB16" s="245">
        <f t="shared" ca="1" si="3"/>
        <v>7</v>
      </c>
      <c r="AC16" s="249" t="s">
        <v>98</v>
      </c>
      <c r="AD16" s="249" t="s">
        <v>98</v>
      </c>
      <c r="AE16" s="249" t="s">
        <v>31</v>
      </c>
      <c r="AF16" s="249" t="s">
        <v>367</v>
      </c>
      <c r="AG16" s="261"/>
      <c r="AH16" s="261">
        <v>47014</v>
      </c>
      <c r="AI16" s="249" t="s">
        <v>348</v>
      </c>
      <c r="AJ16" s="261">
        <v>45938</v>
      </c>
      <c r="AK16" s="261"/>
      <c r="AL16" s="249"/>
      <c r="AM16" s="249"/>
      <c r="AN16" s="435"/>
      <c r="AO16" s="435"/>
      <c r="AP16" s="436">
        <v>46412</v>
      </c>
      <c r="AQ16" s="435"/>
      <c r="AR16" s="436"/>
      <c r="AS16" s="436">
        <v>46234</v>
      </c>
      <c r="AT16" s="247"/>
      <c r="AU16" s="436"/>
      <c r="AV16" s="249" t="s">
        <v>355</v>
      </c>
      <c r="AW16" s="261">
        <v>45672</v>
      </c>
      <c r="AX16" s="317">
        <f t="shared" si="5"/>
        <v>46037</v>
      </c>
      <c r="AY16" s="249"/>
      <c r="AZ16" s="261"/>
      <c r="BA16" s="317"/>
    </row>
    <row r="17" spans="1:53" x14ac:dyDescent="0.35">
      <c r="A17" s="247">
        <v>10</v>
      </c>
      <c r="B17" s="258">
        <v>126</v>
      </c>
      <c r="C17" s="255" t="s">
        <v>369</v>
      </c>
      <c r="D17" s="303">
        <v>29861983</v>
      </c>
      <c r="E17" s="474">
        <v>20298619831</v>
      </c>
      <c r="F17" s="473" t="s">
        <v>953</v>
      </c>
      <c r="G17" s="473"/>
      <c r="H17" s="317">
        <v>43116</v>
      </c>
      <c r="I17" s="462">
        <f t="shared" ca="1" si="4"/>
        <v>23</v>
      </c>
      <c r="J17" s="247">
        <v>127901</v>
      </c>
      <c r="K17" s="260" t="s">
        <v>208</v>
      </c>
      <c r="L17" s="248" t="s">
        <v>12</v>
      </c>
      <c r="M17" s="249" t="s">
        <v>239</v>
      </c>
      <c r="N17" s="250" t="s">
        <v>119</v>
      </c>
      <c r="O17" s="250" t="s">
        <v>370</v>
      </c>
      <c r="P17" s="476" t="s">
        <v>585</v>
      </c>
      <c r="Q17" s="355" t="s">
        <v>922</v>
      </c>
      <c r="R17" s="249">
        <v>8300</v>
      </c>
      <c r="S17" s="249" t="s">
        <v>5</v>
      </c>
      <c r="T17" s="249" t="s">
        <v>5</v>
      </c>
      <c r="U17" s="317">
        <v>30386</v>
      </c>
      <c r="V17" s="249">
        <v>2996222383</v>
      </c>
      <c r="W17" s="247"/>
      <c r="X17" s="247"/>
      <c r="Y17" s="247">
        <f t="shared" ca="1" si="0"/>
        <v>42</v>
      </c>
      <c r="Z17" s="245">
        <f t="shared" ca="1" si="1"/>
        <v>23</v>
      </c>
      <c r="AA17" s="245">
        <f t="shared" ca="1" si="2"/>
        <v>8</v>
      </c>
      <c r="AB17" s="245">
        <f t="shared" ca="1" si="3"/>
        <v>7</v>
      </c>
      <c r="AC17" s="249" t="s">
        <v>98</v>
      </c>
      <c r="AD17" s="249" t="s">
        <v>98</v>
      </c>
      <c r="AE17" s="249" t="s">
        <v>31</v>
      </c>
      <c r="AF17" s="249" t="s">
        <v>348</v>
      </c>
      <c r="AG17" s="261"/>
      <c r="AH17" s="261">
        <v>46459</v>
      </c>
      <c r="AI17" s="249" t="s">
        <v>348</v>
      </c>
      <c r="AJ17" s="261">
        <v>46290</v>
      </c>
      <c r="AK17" s="261"/>
      <c r="AL17" s="249"/>
      <c r="AM17" s="249"/>
      <c r="AN17" s="435"/>
      <c r="AO17" s="435"/>
      <c r="AP17" s="436">
        <v>45903</v>
      </c>
      <c r="AQ17" s="435"/>
      <c r="AR17" s="436"/>
      <c r="AS17" s="264">
        <v>46234</v>
      </c>
      <c r="AT17" s="436">
        <v>45624</v>
      </c>
      <c r="AU17" s="264"/>
      <c r="AV17" s="249" t="s">
        <v>355</v>
      </c>
      <c r="AW17" s="261">
        <v>45721</v>
      </c>
      <c r="AX17" s="317">
        <f t="shared" si="5"/>
        <v>46086</v>
      </c>
      <c r="AY17" s="249"/>
      <c r="AZ17" s="261"/>
      <c r="BA17" s="317"/>
    </row>
    <row r="18" spans="1:53" x14ac:dyDescent="0.35">
      <c r="A18" s="247">
        <v>11</v>
      </c>
      <c r="B18" s="258">
        <v>131</v>
      </c>
      <c r="C18" s="255" t="s">
        <v>385</v>
      </c>
      <c r="D18" s="303">
        <v>29939878</v>
      </c>
      <c r="E18" s="474">
        <v>27299398787</v>
      </c>
      <c r="F18" s="473" t="s">
        <v>953</v>
      </c>
      <c r="G18" s="473"/>
      <c r="H18" s="317">
        <v>43191</v>
      </c>
      <c r="I18" s="462">
        <f t="shared" ca="1" si="4"/>
        <v>8</v>
      </c>
      <c r="J18" s="247" t="s">
        <v>389</v>
      </c>
      <c r="K18" s="260" t="s">
        <v>207</v>
      </c>
      <c r="L18" s="248" t="s">
        <v>12</v>
      </c>
      <c r="M18" s="249" t="s">
        <v>239</v>
      </c>
      <c r="N18" s="250" t="s">
        <v>815</v>
      </c>
      <c r="O18" s="250" t="s">
        <v>386</v>
      </c>
      <c r="P18" s="250"/>
      <c r="Q18" s="355" t="s">
        <v>923</v>
      </c>
      <c r="R18" s="249">
        <v>8316</v>
      </c>
      <c r="S18" s="249" t="s">
        <v>4</v>
      </c>
      <c r="T18" s="249" t="s">
        <v>5</v>
      </c>
      <c r="U18" s="317">
        <v>30316</v>
      </c>
      <c r="V18" s="249">
        <v>2995173387</v>
      </c>
      <c r="W18" s="247" t="s">
        <v>387</v>
      </c>
      <c r="X18" s="247"/>
      <c r="Y18" s="247">
        <f t="shared" ca="1" si="0"/>
        <v>42</v>
      </c>
      <c r="Z18" s="245">
        <f t="shared" ca="1" si="1"/>
        <v>8</v>
      </c>
      <c r="AA18" s="245">
        <f t="shared" ca="1" si="2"/>
        <v>6</v>
      </c>
      <c r="AB18" s="245">
        <f t="shared" ca="1" si="3"/>
        <v>7</v>
      </c>
      <c r="AC18" s="249" t="s">
        <v>225</v>
      </c>
      <c r="AD18" s="249" t="s">
        <v>225</v>
      </c>
      <c r="AE18" s="249" t="s">
        <v>31</v>
      </c>
      <c r="AF18" s="249" t="s">
        <v>348</v>
      </c>
      <c r="AG18" s="261"/>
      <c r="AH18" s="261"/>
      <c r="AI18" s="249"/>
      <c r="AJ18" s="261">
        <v>46734</v>
      </c>
      <c r="AK18" s="261"/>
      <c r="AL18" s="249"/>
      <c r="AM18" s="249"/>
      <c r="AN18" s="435"/>
      <c r="AO18" s="435"/>
      <c r="AP18" s="435"/>
      <c r="AQ18" s="436"/>
      <c r="AR18" s="436"/>
      <c r="AS18" s="247"/>
      <c r="AT18" s="247"/>
      <c r="AU18" s="247"/>
      <c r="AV18" s="249" t="s">
        <v>355</v>
      </c>
      <c r="AW18" s="261">
        <v>45695</v>
      </c>
      <c r="AX18" s="317">
        <f t="shared" si="5"/>
        <v>46060</v>
      </c>
      <c r="AY18" s="249"/>
      <c r="AZ18" s="261"/>
      <c r="BA18" s="317"/>
    </row>
    <row r="19" spans="1:53" x14ac:dyDescent="0.35">
      <c r="A19" s="247">
        <v>12</v>
      </c>
      <c r="B19" s="258">
        <v>137</v>
      </c>
      <c r="C19" s="255" t="s">
        <v>414</v>
      </c>
      <c r="D19" s="303">
        <v>27797031</v>
      </c>
      <c r="E19" s="474">
        <v>20277970318</v>
      </c>
      <c r="F19" s="473" t="s">
        <v>953</v>
      </c>
      <c r="G19" s="473"/>
      <c r="H19" s="317">
        <v>43291</v>
      </c>
      <c r="I19" s="462">
        <f t="shared" ca="1" si="4"/>
        <v>29</v>
      </c>
      <c r="J19" s="247">
        <v>127901</v>
      </c>
      <c r="K19" s="260" t="s">
        <v>208</v>
      </c>
      <c r="L19" s="248" t="s">
        <v>12</v>
      </c>
      <c r="M19" s="249" t="s">
        <v>239</v>
      </c>
      <c r="N19" s="250" t="s">
        <v>363</v>
      </c>
      <c r="O19" s="250" t="s">
        <v>415</v>
      </c>
      <c r="P19" s="476" t="s">
        <v>579</v>
      </c>
      <c r="Q19" s="355" t="s">
        <v>936</v>
      </c>
      <c r="R19" s="249">
        <v>8305</v>
      </c>
      <c r="S19" s="249" t="s">
        <v>392</v>
      </c>
      <c r="T19" s="249" t="s">
        <v>5</v>
      </c>
      <c r="U19" s="317">
        <v>29219</v>
      </c>
      <c r="V19" s="249" t="s">
        <v>416</v>
      </c>
      <c r="W19" s="247"/>
      <c r="X19" s="247"/>
      <c r="Y19" s="247">
        <f t="shared" ca="1" si="0"/>
        <v>45</v>
      </c>
      <c r="Z19" s="245">
        <f t="shared" ca="1" si="1"/>
        <v>29</v>
      </c>
      <c r="AA19" s="245">
        <f t="shared" ca="1" si="2"/>
        <v>2</v>
      </c>
      <c r="AB19" s="245">
        <f t="shared" ca="1" si="3"/>
        <v>7</v>
      </c>
      <c r="AC19" s="249" t="s">
        <v>98</v>
      </c>
      <c r="AD19" s="249" t="s">
        <v>98</v>
      </c>
      <c r="AE19" s="249" t="s">
        <v>495</v>
      </c>
      <c r="AF19" s="249" t="s">
        <v>348</v>
      </c>
      <c r="AG19" s="264"/>
      <c r="AH19" s="264">
        <v>46375</v>
      </c>
      <c r="AI19" s="249" t="s">
        <v>348</v>
      </c>
      <c r="AJ19" s="264">
        <v>46375</v>
      </c>
      <c r="AK19" s="264"/>
      <c r="AL19" s="249"/>
      <c r="AM19" s="249"/>
      <c r="AN19" s="435"/>
      <c r="AO19" s="435"/>
      <c r="AP19" s="436">
        <v>46362</v>
      </c>
      <c r="AQ19" s="436">
        <v>46153</v>
      </c>
      <c r="AR19" s="436"/>
      <c r="AS19" s="264"/>
      <c r="AT19" s="247"/>
      <c r="AU19" s="436"/>
      <c r="AV19" s="249" t="s">
        <v>355</v>
      </c>
      <c r="AW19" s="261">
        <v>45509</v>
      </c>
      <c r="AX19" s="317">
        <f>+AW19+365</f>
        <v>45874</v>
      </c>
      <c r="AY19" s="249"/>
      <c r="AZ19" s="261"/>
      <c r="BA19" s="317"/>
    </row>
    <row r="20" spans="1:53" x14ac:dyDescent="0.35">
      <c r="A20" s="247">
        <v>13</v>
      </c>
      <c r="B20" s="258">
        <v>143</v>
      </c>
      <c r="C20" s="255" t="s">
        <v>438</v>
      </c>
      <c r="D20" s="303">
        <v>25013596</v>
      </c>
      <c r="E20" s="474">
        <v>20250135964</v>
      </c>
      <c r="F20" s="473"/>
      <c r="G20" s="473"/>
      <c r="H20" s="317">
        <v>43339</v>
      </c>
      <c r="I20" s="462">
        <f t="shared" ca="1" si="4"/>
        <v>12</v>
      </c>
      <c r="J20" s="247" t="s">
        <v>383</v>
      </c>
      <c r="K20" s="260" t="s">
        <v>208</v>
      </c>
      <c r="L20" s="248" t="s">
        <v>12</v>
      </c>
      <c r="M20" s="249" t="s">
        <v>239</v>
      </c>
      <c r="N20" s="250" t="s">
        <v>883</v>
      </c>
      <c r="O20" s="250" t="s">
        <v>712</v>
      </c>
      <c r="P20" s="476" t="s">
        <v>586</v>
      </c>
      <c r="Q20" s="355" t="s">
        <v>924</v>
      </c>
      <c r="R20" s="249">
        <v>8309</v>
      </c>
      <c r="S20" s="249" t="s">
        <v>439</v>
      </c>
      <c r="T20" s="249" t="s">
        <v>5</v>
      </c>
      <c r="U20" s="317">
        <v>27763</v>
      </c>
      <c r="V20" s="249">
        <v>2994512165</v>
      </c>
      <c r="W20" s="247"/>
      <c r="X20" s="247"/>
      <c r="Y20" s="247">
        <f t="shared" ca="1" si="0"/>
        <v>49</v>
      </c>
      <c r="Z20" s="245">
        <f t="shared" ca="1" si="1"/>
        <v>12</v>
      </c>
      <c r="AA20" s="245">
        <f t="shared" ca="1" si="2"/>
        <v>1</v>
      </c>
      <c r="AB20" s="245">
        <f t="shared" ca="1" si="3"/>
        <v>7</v>
      </c>
      <c r="AC20" s="249" t="s">
        <v>98</v>
      </c>
      <c r="AD20" s="249" t="s">
        <v>98</v>
      </c>
      <c r="AE20" s="249" t="s">
        <v>495</v>
      </c>
      <c r="AF20" s="249" t="s">
        <v>348</v>
      </c>
      <c r="AG20" s="264"/>
      <c r="AH20" s="264">
        <v>45883</v>
      </c>
      <c r="AI20" s="249" t="s">
        <v>348</v>
      </c>
      <c r="AJ20" s="264">
        <v>46487</v>
      </c>
      <c r="AK20" s="264"/>
      <c r="AL20" s="249" t="s">
        <v>102</v>
      </c>
      <c r="AM20" s="264">
        <v>45661</v>
      </c>
      <c r="AN20" s="436">
        <v>45654</v>
      </c>
      <c r="AO20" s="436"/>
      <c r="AP20" s="435"/>
      <c r="AQ20" s="436">
        <v>46430</v>
      </c>
      <c r="AR20" s="436">
        <v>45937</v>
      </c>
      <c r="AS20" s="354"/>
      <c r="AT20" s="264">
        <v>45889</v>
      </c>
      <c r="AU20" s="436"/>
      <c r="AV20" s="249" t="s">
        <v>355</v>
      </c>
      <c r="AW20" s="261">
        <v>45649</v>
      </c>
      <c r="AX20" s="317">
        <f t="shared" ref="AX20:AX26" si="6">AW20+365</f>
        <v>46014</v>
      </c>
      <c r="AY20" s="249"/>
      <c r="AZ20" s="261"/>
      <c r="BA20" s="317"/>
    </row>
    <row r="21" spans="1:53" x14ac:dyDescent="0.35">
      <c r="A21" s="247">
        <v>14</v>
      </c>
      <c r="B21" s="258">
        <v>151</v>
      </c>
      <c r="C21" s="255" t="s">
        <v>452</v>
      </c>
      <c r="D21" s="303">
        <v>31000493</v>
      </c>
      <c r="E21" s="474">
        <v>20310004937</v>
      </c>
      <c r="F21" s="473"/>
      <c r="G21" s="473"/>
      <c r="H21" s="317">
        <v>43353</v>
      </c>
      <c r="I21" s="462">
        <f t="shared" ca="1" si="4"/>
        <v>29</v>
      </c>
      <c r="J21" s="247" t="s">
        <v>389</v>
      </c>
      <c r="K21" s="260" t="s">
        <v>207</v>
      </c>
      <c r="L21" s="248" t="s">
        <v>12</v>
      </c>
      <c r="M21" s="249" t="s">
        <v>239</v>
      </c>
      <c r="N21" s="250" t="s">
        <v>453</v>
      </c>
      <c r="O21" s="250" t="s">
        <v>605</v>
      </c>
      <c r="P21" s="476" t="s">
        <v>580</v>
      </c>
      <c r="Q21" s="355" t="s">
        <v>943</v>
      </c>
      <c r="R21" s="249">
        <v>8300</v>
      </c>
      <c r="S21" s="249" t="s">
        <v>5</v>
      </c>
      <c r="T21" s="249" t="s">
        <v>5</v>
      </c>
      <c r="U21" s="317">
        <v>31055</v>
      </c>
      <c r="V21" s="249">
        <v>2994216158</v>
      </c>
      <c r="W21" s="247" t="s">
        <v>454</v>
      </c>
      <c r="X21" s="247"/>
      <c r="Y21" s="247">
        <f t="shared" ca="1" si="0"/>
        <v>40</v>
      </c>
      <c r="Z21" s="245">
        <f t="shared" ca="1" si="1"/>
        <v>29</v>
      </c>
      <c r="AA21" s="245">
        <f t="shared" ca="1" si="2"/>
        <v>0</v>
      </c>
      <c r="AB21" s="245">
        <f t="shared" ca="1" si="3"/>
        <v>7</v>
      </c>
      <c r="AC21" s="249" t="s">
        <v>225</v>
      </c>
      <c r="AD21" s="249" t="s">
        <v>225</v>
      </c>
      <c r="AE21" s="249" t="s">
        <v>495</v>
      </c>
      <c r="AF21" s="249" t="s">
        <v>348</v>
      </c>
      <c r="AG21" s="264"/>
      <c r="AH21" s="264">
        <v>46313</v>
      </c>
      <c r="AI21" s="249" t="s">
        <v>348</v>
      </c>
      <c r="AJ21" s="264">
        <v>45933</v>
      </c>
      <c r="AK21" s="264"/>
      <c r="AL21" s="249"/>
      <c r="AM21" s="249"/>
      <c r="AN21" s="435"/>
      <c r="AO21" s="435"/>
      <c r="AP21" s="435"/>
      <c r="AQ21" s="436"/>
      <c r="AR21" s="436"/>
      <c r="AS21" s="247"/>
      <c r="AT21" s="247"/>
      <c r="AU21" s="247"/>
      <c r="AV21" s="249" t="s">
        <v>355</v>
      </c>
      <c r="AW21" s="261">
        <v>45587</v>
      </c>
      <c r="AX21" s="317">
        <f t="shared" si="6"/>
        <v>45952</v>
      </c>
      <c r="AY21" s="249"/>
      <c r="AZ21" s="261"/>
      <c r="BA21" s="317"/>
    </row>
    <row r="22" spans="1:53" x14ac:dyDescent="0.35">
      <c r="A22" s="247">
        <v>15</v>
      </c>
      <c r="B22" s="258">
        <v>156</v>
      </c>
      <c r="C22" s="255" t="s">
        <v>471</v>
      </c>
      <c r="D22" s="303">
        <v>40960481</v>
      </c>
      <c r="E22" s="474">
        <v>20409604812</v>
      </c>
      <c r="F22" s="473"/>
      <c r="G22" s="473"/>
      <c r="H22" s="317">
        <v>43402</v>
      </c>
      <c r="I22" s="462">
        <f t="shared" ca="1" si="4"/>
        <v>10</v>
      </c>
      <c r="J22" s="247" t="s">
        <v>383</v>
      </c>
      <c r="K22" s="260" t="s">
        <v>208</v>
      </c>
      <c r="L22" s="248" t="s">
        <v>12</v>
      </c>
      <c r="M22" s="249" t="s">
        <v>239</v>
      </c>
      <c r="N22" s="250" t="s">
        <v>363</v>
      </c>
      <c r="O22" s="250" t="s">
        <v>472</v>
      </c>
      <c r="P22" s="476" t="s">
        <v>587</v>
      </c>
      <c r="Q22" s="355" t="s">
        <v>925</v>
      </c>
      <c r="R22" s="249">
        <v>8300</v>
      </c>
      <c r="S22" s="249" t="s">
        <v>5</v>
      </c>
      <c r="T22" s="249" t="s">
        <v>5</v>
      </c>
      <c r="U22" s="317">
        <v>35834</v>
      </c>
      <c r="V22" s="249">
        <v>2996132597</v>
      </c>
      <c r="W22" s="247" t="s">
        <v>455</v>
      </c>
      <c r="X22" s="247"/>
      <c r="Y22" s="247">
        <f t="shared" ca="1" si="0"/>
        <v>27</v>
      </c>
      <c r="Z22" s="245">
        <f t="shared" ca="1" si="1"/>
        <v>10</v>
      </c>
      <c r="AA22" s="245">
        <f t="shared" ca="1" si="2"/>
        <v>11</v>
      </c>
      <c r="AB22" s="245">
        <f t="shared" ca="1" si="3"/>
        <v>6</v>
      </c>
      <c r="AC22" s="249" t="s">
        <v>98</v>
      </c>
      <c r="AD22" s="249" t="s">
        <v>98</v>
      </c>
      <c r="AE22" s="249" t="s">
        <v>495</v>
      </c>
      <c r="AF22" s="249" t="s">
        <v>348</v>
      </c>
      <c r="AG22" s="261"/>
      <c r="AH22" s="261">
        <v>46456</v>
      </c>
      <c r="AI22" s="249" t="s">
        <v>348</v>
      </c>
      <c r="AJ22" s="264">
        <v>46290</v>
      </c>
      <c r="AK22" s="264"/>
      <c r="AL22" s="249" t="s">
        <v>102</v>
      </c>
      <c r="AM22" s="264">
        <v>45672</v>
      </c>
      <c r="AN22" s="436">
        <v>46183</v>
      </c>
      <c r="AO22" s="436"/>
      <c r="AP22" s="436">
        <v>46362</v>
      </c>
      <c r="AQ22" s="436">
        <v>46153</v>
      </c>
      <c r="AR22" s="435"/>
      <c r="AS22" s="354"/>
      <c r="AT22" s="436">
        <v>45432</v>
      </c>
      <c r="AU22" s="436">
        <v>46129</v>
      </c>
      <c r="AV22" s="249" t="s">
        <v>355</v>
      </c>
      <c r="AW22" s="261">
        <v>45761</v>
      </c>
      <c r="AX22" s="317">
        <f t="shared" si="6"/>
        <v>46126</v>
      </c>
      <c r="AY22" s="249"/>
      <c r="AZ22" s="261"/>
      <c r="BA22" s="317"/>
    </row>
    <row r="23" spans="1:53" x14ac:dyDescent="0.35">
      <c r="A23" s="247">
        <v>16</v>
      </c>
      <c r="B23" s="258">
        <v>157</v>
      </c>
      <c r="C23" s="255" t="s">
        <v>473</v>
      </c>
      <c r="D23" s="303">
        <v>31587345</v>
      </c>
      <c r="E23" s="474">
        <v>20315873453</v>
      </c>
      <c r="F23" s="473"/>
      <c r="G23" s="473"/>
      <c r="H23" s="317">
        <v>43409</v>
      </c>
      <c r="I23" s="462">
        <f t="shared" ca="1" si="4"/>
        <v>4</v>
      </c>
      <c r="J23" s="247" t="s">
        <v>383</v>
      </c>
      <c r="K23" s="260" t="s">
        <v>208</v>
      </c>
      <c r="L23" s="248" t="s">
        <v>12</v>
      </c>
      <c r="M23" s="249" t="s">
        <v>239</v>
      </c>
      <c r="N23" s="250" t="s">
        <v>882</v>
      </c>
      <c r="O23" s="250" t="s">
        <v>711</v>
      </c>
      <c r="P23" s="476" t="s">
        <v>588</v>
      </c>
      <c r="Q23" s="355" t="s">
        <v>926</v>
      </c>
      <c r="R23" s="249">
        <v>8311</v>
      </c>
      <c r="S23" s="249" t="s">
        <v>504</v>
      </c>
      <c r="T23" s="249" t="s">
        <v>5</v>
      </c>
      <c r="U23" s="317">
        <v>31316</v>
      </c>
      <c r="V23" s="249">
        <v>2995465158</v>
      </c>
      <c r="W23" s="247"/>
      <c r="X23" s="247"/>
      <c r="Y23" s="247">
        <f t="shared" ca="1" si="0"/>
        <v>40</v>
      </c>
      <c r="Z23" s="245">
        <f t="shared" ca="1" si="1"/>
        <v>4</v>
      </c>
      <c r="AA23" s="245">
        <f t="shared" ca="1" si="2"/>
        <v>11</v>
      </c>
      <c r="AB23" s="245">
        <f t="shared" ca="1" si="3"/>
        <v>6</v>
      </c>
      <c r="AC23" s="249" t="s">
        <v>98</v>
      </c>
      <c r="AD23" s="249" t="s">
        <v>98</v>
      </c>
      <c r="AE23" s="249" t="s">
        <v>495</v>
      </c>
      <c r="AF23" s="249" t="s">
        <v>348</v>
      </c>
      <c r="AG23" s="261"/>
      <c r="AH23" s="261">
        <v>45922</v>
      </c>
      <c r="AI23" s="249" t="s">
        <v>348</v>
      </c>
      <c r="AJ23" s="264">
        <v>46375</v>
      </c>
      <c r="AK23" s="264"/>
      <c r="AL23" s="249" t="s">
        <v>102</v>
      </c>
      <c r="AM23" s="264">
        <v>45885</v>
      </c>
      <c r="AN23" s="436">
        <v>46253</v>
      </c>
      <c r="AO23" s="436"/>
      <c r="AP23" s="435"/>
      <c r="AQ23" s="435"/>
      <c r="AR23" s="436">
        <v>45809</v>
      </c>
      <c r="AS23" s="354"/>
      <c r="AT23" s="436">
        <v>45624</v>
      </c>
      <c r="AU23" s="247"/>
      <c r="AV23" s="249" t="s">
        <v>355</v>
      </c>
      <c r="AW23" s="261">
        <v>45649</v>
      </c>
      <c r="AX23" s="317">
        <f t="shared" si="6"/>
        <v>46014</v>
      </c>
      <c r="AY23" s="249"/>
      <c r="AZ23" s="261"/>
      <c r="BA23" s="317"/>
    </row>
    <row r="24" spans="1:53" x14ac:dyDescent="0.35">
      <c r="A24" s="247">
        <v>17</v>
      </c>
      <c r="B24" s="258">
        <v>160</v>
      </c>
      <c r="C24" s="255" t="s">
        <v>478</v>
      </c>
      <c r="D24" s="303">
        <v>33393024</v>
      </c>
      <c r="E24" s="474">
        <v>27333930248</v>
      </c>
      <c r="F24" s="473"/>
      <c r="G24" s="473"/>
      <c r="H24" s="317">
        <v>43451</v>
      </c>
      <c r="I24" s="462">
        <f t="shared" ca="1" si="4"/>
        <v>22</v>
      </c>
      <c r="J24" s="247" t="s">
        <v>851</v>
      </c>
      <c r="K24" s="260" t="s">
        <v>207</v>
      </c>
      <c r="L24" s="248" t="s">
        <v>12</v>
      </c>
      <c r="M24" s="249" t="s">
        <v>239</v>
      </c>
      <c r="N24" s="250" t="s">
        <v>814</v>
      </c>
      <c r="O24" s="250" t="s">
        <v>479</v>
      </c>
      <c r="P24" s="476" t="s">
        <v>591</v>
      </c>
      <c r="Q24" s="355" t="s">
        <v>939</v>
      </c>
      <c r="R24" s="249">
        <v>8316</v>
      </c>
      <c r="S24" s="249" t="s">
        <v>4</v>
      </c>
      <c r="T24" s="249" t="s">
        <v>5</v>
      </c>
      <c r="U24" s="317">
        <v>32043</v>
      </c>
      <c r="V24" s="249">
        <v>2996344591</v>
      </c>
      <c r="W24" s="247"/>
      <c r="X24" s="247"/>
      <c r="Y24" s="247">
        <f t="shared" ca="1" si="0"/>
        <v>38</v>
      </c>
      <c r="Z24" s="245">
        <f t="shared" ca="1" si="1"/>
        <v>22</v>
      </c>
      <c r="AA24" s="245">
        <f t="shared" ca="1" si="2"/>
        <v>9</v>
      </c>
      <c r="AB24" s="245">
        <f t="shared" ca="1" si="3"/>
        <v>6</v>
      </c>
      <c r="AC24" s="249" t="s">
        <v>225</v>
      </c>
      <c r="AD24" s="249" t="s">
        <v>225</v>
      </c>
      <c r="AE24" s="249" t="s">
        <v>495</v>
      </c>
      <c r="AF24" s="249"/>
      <c r="AG24" s="261"/>
      <c r="AH24" s="261"/>
      <c r="AI24" s="249"/>
      <c r="AJ24" s="264"/>
      <c r="AK24" s="264"/>
      <c r="AL24" s="249"/>
      <c r="AM24" s="249"/>
      <c r="AN24" s="435"/>
      <c r="AO24" s="435"/>
      <c r="AP24" s="436"/>
      <c r="AQ24" s="436"/>
      <c r="AR24" s="435"/>
      <c r="AS24" s="247"/>
      <c r="AT24" s="247"/>
      <c r="AU24" s="247"/>
      <c r="AV24" s="249" t="s">
        <v>355</v>
      </c>
      <c r="AW24" s="261">
        <v>45696</v>
      </c>
      <c r="AX24" s="317">
        <f t="shared" si="6"/>
        <v>46061</v>
      </c>
      <c r="AY24" s="249"/>
      <c r="AZ24" s="261"/>
      <c r="BA24" s="317"/>
    </row>
    <row r="25" spans="1:53" x14ac:dyDescent="0.35">
      <c r="A25" s="247">
        <v>18</v>
      </c>
      <c r="B25" s="258">
        <v>161</v>
      </c>
      <c r="C25" s="255" t="s">
        <v>485</v>
      </c>
      <c r="D25" s="303">
        <v>23896732</v>
      </c>
      <c r="E25" s="474">
        <v>20238967326</v>
      </c>
      <c r="F25" s="473"/>
      <c r="G25" s="473"/>
      <c r="H25" s="317">
        <v>43514</v>
      </c>
      <c r="I25" s="462">
        <f t="shared" ca="1" si="4"/>
        <v>21</v>
      </c>
      <c r="J25" s="247" t="s">
        <v>383</v>
      </c>
      <c r="K25" s="260" t="s">
        <v>208</v>
      </c>
      <c r="L25" s="248" t="s">
        <v>12</v>
      </c>
      <c r="M25" s="249" t="s">
        <v>239</v>
      </c>
      <c r="N25" s="250" t="s">
        <v>119</v>
      </c>
      <c r="O25" s="250" t="s">
        <v>486</v>
      </c>
      <c r="P25" s="476" t="s">
        <v>583</v>
      </c>
      <c r="Q25" s="355" t="s">
        <v>927</v>
      </c>
      <c r="R25" s="249">
        <v>8319</v>
      </c>
      <c r="S25" s="249" t="s">
        <v>487</v>
      </c>
      <c r="T25" s="249" t="s">
        <v>5</v>
      </c>
      <c r="U25" s="317">
        <v>27093</v>
      </c>
      <c r="V25" s="249">
        <v>2995355429</v>
      </c>
      <c r="W25" s="247"/>
      <c r="X25" s="247"/>
      <c r="Y25" s="247">
        <f t="shared" ca="1" si="0"/>
        <v>51</v>
      </c>
      <c r="Z25" s="245">
        <f t="shared" ca="1" si="1"/>
        <v>21</v>
      </c>
      <c r="AA25" s="245">
        <f t="shared" ca="1" si="2"/>
        <v>7</v>
      </c>
      <c r="AB25" s="245">
        <f t="shared" ca="1" si="3"/>
        <v>6</v>
      </c>
      <c r="AC25" s="249" t="s">
        <v>98</v>
      </c>
      <c r="AD25" s="249" t="s">
        <v>98</v>
      </c>
      <c r="AE25" s="249" t="s">
        <v>495</v>
      </c>
      <c r="AF25" s="249" t="s">
        <v>348</v>
      </c>
      <c r="AG25" s="261"/>
      <c r="AH25" s="261">
        <v>46106</v>
      </c>
      <c r="AI25" s="249" t="s">
        <v>348</v>
      </c>
      <c r="AJ25" s="264">
        <v>46431</v>
      </c>
      <c r="AK25" s="264"/>
      <c r="AL25" s="249"/>
      <c r="AM25" s="249"/>
      <c r="AN25" s="435"/>
      <c r="AO25" s="435"/>
      <c r="AP25" s="436">
        <v>45595</v>
      </c>
      <c r="AQ25" s="436"/>
      <c r="AR25" s="436"/>
      <c r="AS25" s="264"/>
      <c r="AT25" s="436">
        <v>45889</v>
      </c>
      <c r="AU25" s="264"/>
      <c r="AV25" s="249" t="s">
        <v>355</v>
      </c>
      <c r="AW25" s="261">
        <v>45565</v>
      </c>
      <c r="AX25" s="317">
        <f t="shared" si="6"/>
        <v>45930</v>
      </c>
      <c r="AY25" s="249"/>
      <c r="AZ25" s="261"/>
      <c r="BA25" s="317"/>
    </row>
    <row r="26" spans="1:53" x14ac:dyDescent="0.35">
      <c r="A26" s="247">
        <v>19</v>
      </c>
      <c r="B26" s="258">
        <v>162</v>
      </c>
      <c r="C26" s="255" t="s">
        <v>488</v>
      </c>
      <c r="D26" s="303">
        <v>25082537</v>
      </c>
      <c r="E26" s="474" t="s">
        <v>489</v>
      </c>
      <c r="F26" s="473"/>
      <c r="G26" s="473"/>
      <c r="H26" s="317">
        <v>43530</v>
      </c>
      <c r="I26" s="462">
        <f t="shared" ca="1" si="4"/>
        <v>3</v>
      </c>
      <c r="J26" s="247" t="s">
        <v>383</v>
      </c>
      <c r="K26" s="260" t="s">
        <v>208</v>
      </c>
      <c r="L26" s="248" t="s">
        <v>12</v>
      </c>
      <c r="M26" s="249" t="s">
        <v>239</v>
      </c>
      <c r="N26" s="250" t="s">
        <v>119</v>
      </c>
      <c r="O26" s="250" t="s">
        <v>490</v>
      </c>
      <c r="P26" s="476" t="s">
        <v>584</v>
      </c>
      <c r="Q26" s="355" t="s">
        <v>928</v>
      </c>
      <c r="R26" s="249">
        <v>8300</v>
      </c>
      <c r="S26" s="249" t="s">
        <v>5</v>
      </c>
      <c r="T26" s="249" t="s">
        <v>5</v>
      </c>
      <c r="U26" s="317">
        <v>27767</v>
      </c>
      <c r="V26" s="249">
        <v>2995469776</v>
      </c>
      <c r="W26" s="247"/>
      <c r="X26" s="247"/>
      <c r="Y26" s="247">
        <f t="shared" ca="1" si="0"/>
        <v>49</v>
      </c>
      <c r="Z26" s="245">
        <f t="shared" ca="1" si="1"/>
        <v>3</v>
      </c>
      <c r="AA26" s="245">
        <f t="shared" ca="1" si="2"/>
        <v>7</v>
      </c>
      <c r="AB26" s="245">
        <f t="shared" ca="1" si="3"/>
        <v>6</v>
      </c>
      <c r="AC26" s="249" t="s">
        <v>98</v>
      </c>
      <c r="AD26" s="249" t="s">
        <v>98</v>
      </c>
      <c r="AE26" s="249" t="s">
        <v>495</v>
      </c>
      <c r="AF26" s="249" t="s">
        <v>348</v>
      </c>
      <c r="AG26" s="261"/>
      <c r="AH26" s="261">
        <v>46832</v>
      </c>
      <c r="AI26" s="249" t="s">
        <v>348</v>
      </c>
      <c r="AJ26" s="264">
        <v>46411</v>
      </c>
      <c r="AK26" s="264"/>
      <c r="AL26" s="249" t="s">
        <v>102</v>
      </c>
      <c r="AM26" s="264"/>
      <c r="AN26" s="435"/>
      <c r="AO26" s="435"/>
      <c r="AP26" s="436">
        <v>45903</v>
      </c>
      <c r="AQ26" s="436"/>
      <c r="AR26" s="435"/>
      <c r="AS26" s="264">
        <v>45869</v>
      </c>
      <c r="AT26" s="264">
        <v>45889</v>
      </c>
      <c r="AU26" s="264"/>
      <c r="AV26" s="249" t="s">
        <v>355</v>
      </c>
      <c r="AW26" s="261">
        <v>45525</v>
      </c>
      <c r="AX26" s="317">
        <f t="shared" si="6"/>
        <v>45890</v>
      </c>
      <c r="AY26" s="249"/>
      <c r="AZ26" s="261"/>
      <c r="BA26" s="317"/>
    </row>
    <row r="27" spans="1:53" x14ac:dyDescent="0.35">
      <c r="A27" s="247">
        <v>20</v>
      </c>
      <c r="B27" s="258">
        <v>164</v>
      </c>
      <c r="C27" s="255" t="s">
        <v>496</v>
      </c>
      <c r="D27" s="303">
        <v>41436635</v>
      </c>
      <c r="E27" s="474">
        <v>20414366350</v>
      </c>
      <c r="F27" s="473"/>
      <c r="G27" s="473"/>
      <c r="H27" s="317">
        <v>43587</v>
      </c>
      <c r="I27" s="462">
        <f t="shared" ca="1" si="4"/>
        <v>7</v>
      </c>
      <c r="J27" s="247" t="s">
        <v>852</v>
      </c>
      <c r="K27" s="260" t="s">
        <v>395</v>
      </c>
      <c r="L27" s="248" t="s">
        <v>12</v>
      </c>
      <c r="M27" s="249" t="s">
        <v>239</v>
      </c>
      <c r="N27" s="250" t="s">
        <v>67</v>
      </c>
      <c r="O27" s="250" t="s">
        <v>715</v>
      </c>
      <c r="P27" s="250"/>
      <c r="Q27" s="477"/>
      <c r="R27" s="249">
        <v>8300</v>
      </c>
      <c r="S27" s="249" t="s">
        <v>5</v>
      </c>
      <c r="T27" s="249" t="s">
        <v>5</v>
      </c>
      <c r="U27" s="317">
        <v>36112</v>
      </c>
      <c r="V27" s="249">
        <v>2996239895</v>
      </c>
      <c r="W27" s="247"/>
      <c r="X27" s="247"/>
      <c r="Y27" s="247">
        <f t="shared" ca="1" si="0"/>
        <v>26</v>
      </c>
      <c r="Z27" s="245">
        <f t="shared" ca="1" si="1"/>
        <v>7</v>
      </c>
      <c r="AA27" s="245">
        <f t="shared" ca="1" si="2"/>
        <v>5</v>
      </c>
      <c r="AB27" s="245">
        <f t="shared" ca="1" si="3"/>
        <v>6</v>
      </c>
      <c r="AC27" s="317" t="s">
        <v>24</v>
      </c>
      <c r="AD27" s="317" t="s">
        <v>24</v>
      </c>
      <c r="AE27" s="249" t="s">
        <v>495</v>
      </c>
      <c r="AF27" s="249"/>
      <c r="AG27" s="261"/>
      <c r="AH27" s="261"/>
      <c r="AI27" s="249"/>
      <c r="AJ27" s="264"/>
      <c r="AK27" s="264"/>
      <c r="AL27" s="249"/>
      <c r="AM27" s="249"/>
      <c r="AN27" s="435"/>
      <c r="AO27" s="435"/>
      <c r="AP27" s="435"/>
      <c r="AQ27" s="435"/>
      <c r="AR27" s="435"/>
      <c r="AS27" s="247"/>
      <c r="AT27" s="247"/>
      <c r="AU27" s="247"/>
      <c r="AV27" s="249" t="s">
        <v>355</v>
      </c>
      <c r="AW27" s="261"/>
      <c r="AX27" s="317"/>
      <c r="AY27" s="249"/>
      <c r="AZ27" s="261"/>
      <c r="BA27" s="317"/>
    </row>
    <row r="28" spans="1:53" x14ac:dyDescent="0.35">
      <c r="A28" s="247">
        <v>21</v>
      </c>
      <c r="B28" s="258">
        <v>209</v>
      </c>
      <c r="C28" s="255" t="s">
        <v>671</v>
      </c>
      <c r="D28" s="303">
        <v>33019525</v>
      </c>
      <c r="E28" s="474" t="s">
        <v>672</v>
      </c>
      <c r="F28" s="473"/>
      <c r="G28" s="473"/>
      <c r="H28" s="354">
        <v>44326</v>
      </c>
      <c r="I28" s="462">
        <f t="shared" ca="1" si="4"/>
        <v>29</v>
      </c>
      <c r="J28" s="247" t="s">
        <v>389</v>
      </c>
      <c r="K28" s="260" t="s">
        <v>207</v>
      </c>
      <c r="L28" s="248" t="s">
        <v>12</v>
      </c>
      <c r="M28" s="249" t="s">
        <v>239</v>
      </c>
      <c r="N28" s="250" t="s">
        <v>816</v>
      </c>
      <c r="O28" s="250" t="s">
        <v>673</v>
      </c>
      <c r="P28" s="250"/>
      <c r="Q28" s="355" t="s">
        <v>941</v>
      </c>
      <c r="R28" s="249">
        <v>8316</v>
      </c>
      <c r="S28" s="249" t="s">
        <v>4</v>
      </c>
      <c r="T28" s="249" t="s">
        <v>5</v>
      </c>
      <c r="U28" s="317">
        <v>31772</v>
      </c>
      <c r="V28" s="249">
        <v>2996745522</v>
      </c>
      <c r="W28" s="247"/>
      <c r="X28" s="247"/>
      <c r="Y28" s="247" t="e">
        <f>DATEDIF(U28,#REF!,"Y")</f>
        <v>#REF!</v>
      </c>
      <c r="Z28" s="245">
        <f t="shared" ca="1" si="1"/>
        <v>29</v>
      </c>
      <c r="AA28" s="245">
        <f t="shared" ca="1" si="2"/>
        <v>4</v>
      </c>
      <c r="AB28" s="245">
        <f t="shared" ca="1" si="3"/>
        <v>4</v>
      </c>
      <c r="AC28" s="249" t="s">
        <v>225</v>
      </c>
      <c r="AD28" s="249"/>
      <c r="AE28" s="249" t="s">
        <v>31</v>
      </c>
      <c r="AF28" s="249"/>
      <c r="AG28" s="264"/>
      <c r="AH28" s="264"/>
      <c r="AI28" s="249"/>
      <c r="AJ28" s="264"/>
      <c r="AK28" s="264"/>
      <c r="AL28" s="249"/>
      <c r="AM28" s="249"/>
      <c r="AN28" s="435"/>
      <c r="AO28" s="435"/>
      <c r="AP28" s="435"/>
      <c r="AQ28" s="435"/>
      <c r="AR28" s="435"/>
      <c r="AS28" s="247"/>
      <c r="AT28" s="247"/>
      <c r="AU28" s="247"/>
      <c r="AV28" s="249" t="s">
        <v>355</v>
      </c>
      <c r="AW28" s="261">
        <v>45697</v>
      </c>
      <c r="AX28" s="317">
        <f>AW28+365</f>
        <v>46062</v>
      </c>
      <c r="AY28" s="249"/>
      <c r="AZ28" s="261"/>
      <c r="BA28" s="317"/>
    </row>
    <row r="29" spans="1:53" x14ac:dyDescent="0.35">
      <c r="A29" s="247">
        <v>22</v>
      </c>
      <c r="B29" s="258">
        <v>213</v>
      </c>
      <c r="C29" s="324" t="s">
        <v>690</v>
      </c>
      <c r="D29" s="303">
        <v>38906459</v>
      </c>
      <c r="E29" s="305" t="s">
        <v>691</v>
      </c>
      <c r="F29" s="473"/>
      <c r="G29" s="473"/>
      <c r="H29" s="354">
        <v>44412</v>
      </c>
      <c r="I29" s="462">
        <f t="shared" ca="1" si="4"/>
        <v>5</v>
      </c>
      <c r="J29" s="247" t="s">
        <v>383</v>
      </c>
      <c r="K29" s="247" t="s">
        <v>208</v>
      </c>
      <c r="L29" s="248" t="s">
        <v>12</v>
      </c>
      <c r="M29" s="249" t="s">
        <v>239</v>
      </c>
      <c r="N29" s="250" t="s">
        <v>882</v>
      </c>
      <c r="O29" s="305" t="s">
        <v>692</v>
      </c>
      <c r="P29" s="355" t="s">
        <v>738</v>
      </c>
      <c r="Q29" s="355" t="s">
        <v>929</v>
      </c>
      <c r="R29" s="247">
        <v>8300</v>
      </c>
      <c r="S29" s="247" t="s">
        <v>5</v>
      </c>
      <c r="T29" s="247" t="s">
        <v>5</v>
      </c>
      <c r="U29" s="354">
        <v>34865</v>
      </c>
      <c r="V29" s="247">
        <v>2944965995</v>
      </c>
      <c r="W29" s="247"/>
      <c r="X29" s="247"/>
      <c r="Y29" s="247" t="e">
        <f>DATEDIF(U29,#REF!,"Y")</f>
        <v>#REF!</v>
      </c>
      <c r="Z29" s="245">
        <f t="shared" ca="1" si="1"/>
        <v>5</v>
      </c>
      <c r="AA29" s="245">
        <f t="shared" ca="1" si="2"/>
        <v>2</v>
      </c>
      <c r="AB29" s="245">
        <f t="shared" ca="1" si="3"/>
        <v>4</v>
      </c>
      <c r="AC29" s="247" t="s">
        <v>683</v>
      </c>
      <c r="AD29" s="247" t="s">
        <v>683</v>
      </c>
      <c r="AE29" s="247"/>
      <c r="AF29" s="457" t="s">
        <v>367</v>
      </c>
      <c r="AG29" s="264"/>
      <c r="AH29" s="264">
        <v>45830</v>
      </c>
      <c r="AI29" s="457" t="s">
        <v>348</v>
      </c>
      <c r="AJ29" s="264">
        <v>45864</v>
      </c>
      <c r="AK29" s="264"/>
      <c r="AL29" s="247" t="s">
        <v>102</v>
      </c>
      <c r="AM29" s="264">
        <v>45853</v>
      </c>
      <c r="AN29" s="264">
        <v>46227</v>
      </c>
      <c r="AO29" s="264"/>
      <c r="AP29" s="247"/>
      <c r="AQ29" s="264">
        <v>45955</v>
      </c>
      <c r="AR29" s="264"/>
      <c r="AS29" s="264"/>
      <c r="AT29" s="264">
        <v>45889</v>
      </c>
      <c r="AU29" s="264"/>
      <c r="AV29" s="249" t="s">
        <v>355</v>
      </c>
      <c r="AW29" s="264">
        <v>45496</v>
      </c>
      <c r="AX29" s="354">
        <f>AW29+365</f>
        <v>45861</v>
      </c>
      <c r="AY29" s="249"/>
      <c r="AZ29" s="261"/>
      <c r="BA29" s="317"/>
    </row>
    <row r="30" spans="1:53" x14ac:dyDescent="0.35">
      <c r="A30" s="247">
        <v>23</v>
      </c>
      <c r="B30" s="258">
        <v>218</v>
      </c>
      <c r="C30" s="324" t="s">
        <v>717</v>
      </c>
      <c r="D30" s="303">
        <v>35128234</v>
      </c>
      <c r="E30" s="305" t="s">
        <v>719</v>
      </c>
      <c r="F30" s="473"/>
      <c r="G30" s="473"/>
      <c r="H30" s="354">
        <v>44614</v>
      </c>
      <c r="I30" s="462">
        <f t="shared" ca="1" si="4"/>
        <v>17</v>
      </c>
      <c r="J30" s="247" t="s">
        <v>383</v>
      </c>
      <c r="K30" s="247" t="s">
        <v>208</v>
      </c>
      <c r="L30" s="248" t="s">
        <v>12</v>
      </c>
      <c r="M30" s="249" t="s">
        <v>239</v>
      </c>
      <c r="N30" s="250" t="s">
        <v>363</v>
      </c>
      <c r="O30" s="305"/>
      <c r="P30" s="305"/>
      <c r="Q30" s="355" t="s">
        <v>940</v>
      </c>
      <c r="R30" s="247">
        <v>8316</v>
      </c>
      <c r="S30" s="247" t="s">
        <v>4</v>
      </c>
      <c r="T30" s="247" t="s">
        <v>5</v>
      </c>
      <c r="U30" s="354">
        <v>32959</v>
      </c>
      <c r="V30" s="247">
        <v>2994536223</v>
      </c>
      <c r="W30" s="247"/>
      <c r="X30" s="247"/>
      <c r="Y30" s="247">
        <f ca="1">DATEDIF(U30,$H$5,"Y")</f>
        <v>35</v>
      </c>
      <c r="Z30" s="245">
        <f t="shared" ca="1" si="1"/>
        <v>17</v>
      </c>
      <c r="AA30" s="245">
        <f t="shared" ca="1" si="2"/>
        <v>7</v>
      </c>
      <c r="AB30" s="245">
        <f t="shared" ca="1" si="3"/>
        <v>3</v>
      </c>
      <c r="AC30" s="247" t="s">
        <v>683</v>
      </c>
      <c r="AD30" s="247" t="s">
        <v>98</v>
      </c>
      <c r="AE30" s="247" t="s">
        <v>31</v>
      </c>
      <c r="AF30" s="247" t="s">
        <v>348</v>
      </c>
      <c r="AG30" s="264"/>
      <c r="AH30" s="264">
        <v>46221</v>
      </c>
      <c r="AI30" s="247"/>
      <c r="AJ30" s="264">
        <v>46053</v>
      </c>
      <c r="AK30" s="264"/>
      <c r="AL30" s="247" t="s">
        <v>102</v>
      </c>
      <c r="AM30" s="264">
        <v>46046</v>
      </c>
      <c r="AN30" s="264">
        <v>45997</v>
      </c>
      <c r="AO30" s="264"/>
      <c r="AP30" s="436">
        <v>46362</v>
      </c>
      <c r="AQ30" s="436">
        <v>46153</v>
      </c>
      <c r="AR30" s="436"/>
      <c r="AS30" s="264">
        <v>46234</v>
      </c>
      <c r="AT30" s="264">
        <v>45889</v>
      </c>
      <c r="AU30" s="264"/>
      <c r="AV30" s="249" t="s">
        <v>355</v>
      </c>
      <c r="AW30" s="261">
        <v>45677</v>
      </c>
      <c r="AX30" s="354">
        <f>AW30+365</f>
        <v>46042</v>
      </c>
      <c r="AY30" s="249"/>
      <c r="AZ30" s="261"/>
      <c r="BA30" s="317"/>
    </row>
    <row r="31" spans="1:53" x14ac:dyDescent="0.35">
      <c r="A31" s="247">
        <v>24</v>
      </c>
      <c r="B31" s="258">
        <v>222</v>
      </c>
      <c r="C31" s="324" t="s">
        <v>722</v>
      </c>
      <c r="D31" s="303">
        <v>31892276</v>
      </c>
      <c r="E31" s="305" t="s">
        <v>723</v>
      </c>
      <c r="F31" s="473"/>
      <c r="G31" s="473"/>
      <c r="H31" s="354">
        <v>44642</v>
      </c>
      <c r="I31" s="462">
        <f t="shared" ca="1" si="4"/>
        <v>17</v>
      </c>
      <c r="J31" s="247" t="s">
        <v>666</v>
      </c>
      <c r="K31" s="247" t="s">
        <v>84</v>
      </c>
      <c r="L31" s="248" t="s">
        <v>12</v>
      </c>
      <c r="M31" s="249" t="s">
        <v>239</v>
      </c>
      <c r="N31" s="305" t="s">
        <v>754</v>
      </c>
      <c r="O31" s="305" t="s">
        <v>751</v>
      </c>
      <c r="P31" s="305"/>
      <c r="Q31" s="477"/>
      <c r="R31" s="247">
        <v>8316</v>
      </c>
      <c r="S31" s="247" t="s">
        <v>4</v>
      </c>
      <c r="T31" s="247" t="s">
        <v>5</v>
      </c>
      <c r="U31" s="354">
        <v>31431</v>
      </c>
      <c r="V31" s="247">
        <v>2996256885</v>
      </c>
      <c r="W31" s="247"/>
      <c r="X31" s="247"/>
      <c r="Y31" s="247" t="e">
        <f>DATEDIF(U31,#REF!,"Y")</f>
        <v>#REF!</v>
      </c>
      <c r="Z31" s="245">
        <f t="shared" ca="1" si="1"/>
        <v>17</v>
      </c>
      <c r="AA31" s="245">
        <f t="shared" ca="1" si="2"/>
        <v>6</v>
      </c>
      <c r="AB31" s="245">
        <f t="shared" ca="1" si="3"/>
        <v>3</v>
      </c>
      <c r="AC31" s="247" t="s">
        <v>24</v>
      </c>
      <c r="AD31" s="247" t="s">
        <v>24</v>
      </c>
      <c r="AE31" s="247" t="s">
        <v>216</v>
      </c>
      <c r="AF31" s="247"/>
      <c r="AG31" s="247"/>
      <c r="AH31" s="247"/>
      <c r="AI31" s="247"/>
      <c r="AJ31" s="247"/>
      <c r="AK31" s="247"/>
      <c r="AL31" s="247"/>
      <c r="AM31" s="247"/>
      <c r="AN31" s="247"/>
      <c r="AO31" s="247"/>
      <c r="AP31" s="247"/>
      <c r="AQ31" s="247"/>
      <c r="AR31" s="436"/>
      <c r="AS31" s="247"/>
      <c r="AT31" s="436"/>
      <c r="AU31" s="247"/>
      <c r="AV31" s="249" t="s">
        <v>355</v>
      </c>
      <c r="AW31" s="264">
        <v>45267</v>
      </c>
      <c r="AX31" s="354">
        <f t="shared" ref="AX31:AX36" si="7">+AW31+365</f>
        <v>45632</v>
      </c>
      <c r="AY31" s="249"/>
      <c r="AZ31" s="261"/>
      <c r="BA31" s="317"/>
    </row>
    <row r="32" spans="1:53" x14ac:dyDescent="0.35">
      <c r="A32" s="247">
        <v>25</v>
      </c>
      <c r="B32" s="258">
        <v>237</v>
      </c>
      <c r="C32" s="324" t="s">
        <v>773</v>
      </c>
      <c r="D32" s="303">
        <v>93056734</v>
      </c>
      <c r="E32" s="305" t="s">
        <v>774</v>
      </c>
      <c r="F32" s="473"/>
      <c r="G32" s="473"/>
      <c r="H32" s="354">
        <v>44823</v>
      </c>
      <c r="I32" s="462">
        <f t="shared" ca="1" si="4"/>
        <v>20</v>
      </c>
      <c r="J32" s="247" t="s">
        <v>383</v>
      </c>
      <c r="K32" s="247" t="s">
        <v>208</v>
      </c>
      <c r="L32" s="248" t="s">
        <v>12</v>
      </c>
      <c r="M32" s="249" t="s">
        <v>239</v>
      </c>
      <c r="N32" s="250" t="s">
        <v>882</v>
      </c>
      <c r="O32" s="305"/>
      <c r="P32" s="305"/>
      <c r="Q32" s="355" t="s">
        <v>930</v>
      </c>
      <c r="R32" s="247">
        <v>8300</v>
      </c>
      <c r="S32" s="247" t="s">
        <v>5</v>
      </c>
      <c r="T32" s="247" t="s">
        <v>5</v>
      </c>
      <c r="U32" s="354">
        <v>30277</v>
      </c>
      <c r="V32" s="247"/>
      <c r="W32" s="247"/>
      <c r="X32" s="247"/>
      <c r="Y32" s="247" t="e">
        <f>DATEDIF(U32,#REF!,"Y")</f>
        <v>#REF!</v>
      </c>
      <c r="Z32" s="245">
        <f t="shared" ca="1" si="1"/>
        <v>20</v>
      </c>
      <c r="AA32" s="245">
        <f t="shared" ca="1" si="2"/>
        <v>0</v>
      </c>
      <c r="AB32" s="245">
        <f t="shared" ca="1" si="3"/>
        <v>3</v>
      </c>
      <c r="AC32" s="247" t="s">
        <v>98</v>
      </c>
      <c r="AD32" s="247" t="s">
        <v>98</v>
      </c>
      <c r="AE32" s="247"/>
      <c r="AF32" s="247" t="s">
        <v>348</v>
      </c>
      <c r="AG32" s="264"/>
      <c r="AH32" s="264">
        <v>46713</v>
      </c>
      <c r="AI32" s="247" t="s">
        <v>348</v>
      </c>
      <c r="AJ32" s="264">
        <v>46264</v>
      </c>
      <c r="AK32" s="264"/>
      <c r="AL32" s="247" t="s">
        <v>102</v>
      </c>
      <c r="AM32" s="264">
        <v>45696</v>
      </c>
      <c r="AN32" s="264">
        <v>46095</v>
      </c>
      <c r="AO32" s="264"/>
      <c r="AP32" s="247"/>
      <c r="AQ32" s="264">
        <v>46430</v>
      </c>
      <c r="AR32" s="264">
        <v>46014</v>
      </c>
      <c r="AS32" s="264"/>
      <c r="AT32" s="264">
        <v>45889</v>
      </c>
      <c r="AU32" s="264">
        <v>45727</v>
      </c>
      <c r="AV32" s="249" t="s">
        <v>355</v>
      </c>
      <c r="AW32" s="264">
        <v>45509</v>
      </c>
      <c r="AX32" s="354">
        <f t="shared" si="7"/>
        <v>45874</v>
      </c>
      <c r="AY32" s="249"/>
      <c r="AZ32" s="261"/>
      <c r="BA32" s="317"/>
    </row>
    <row r="33" spans="1:53" x14ac:dyDescent="0.35">
      <c r="A33" s="247">
        <v>26</v>
      </c>
      <c r="B33" s="258">
        <v>246</v>
      </c>
      <c r="C33" s="324" t="s">
        <v>796</v>
      </c>
      <c r="D33" s="303">
        <v>38798477</v>
      </c>
      <c r="E33" s="305" t="s">
        <v>797</v>
      </c>
      <c r="F33" s="473"/>
      <c r="G33" s="473"/>
      <c r="H33" s="354">
        <v>44958</v>
      </c>
      <c r="I33" s="462">
        <f t="shared" ca="1" si="4"/>
        <v>8</v>
      </c>
      <c r="J33" s="247" t="s">
        <v>383</v>
      </c>
      <c r="K33" s="247" t="s">
        <v>208</v>
      </c>
      <c r="L33" s="248" t="s">
        <v>12</v>
      </c>
      <c r="M33" s="249" t="s">
        <v>239</v>
      </c>
      <c r="N33" s="250" t="s">
        <v>882</v>
      </c>
      <c r="O33" s="305"/>
      <c r="P33" s="305"/>
      <c r="Q33" s="355" t="s">
        <v>931</v>
      </c>
      <c r="R33" s="247">
        <v>8317</v>
      </c>
      <c r="S33" s="247"/>
      <c r="T33" s="247"/>
      <c r="U33" s="354">
        <v>35724</v>
      </c>
      <c r="V33" s="247"/>
      <c r="W33" s="247"/>
      <c r="X33" s="247"/>
      <c r="Y33" s="247" t="e">
        <f>DATEDIF(U33,#REF!,"Y")</f>
        <v>#REF!</v>
      </c>
      <c r="Z33" s="245" t="e">
        <f>DATEDIF(H33,#REF!,"MD")</f>
        <v>#REF!</v>
      </c>
      <c r="AA33" s="245" t="e">
        <f>DATEDIF(H33,#REF!,"YM")</f>
        <v>#REF!</v>
      </c>
      <c r="AB33" s="245" t="e">
        <f>DATEDIF(H33,#REF!,"Y")</f>
        <v>#REF!</v>
      </c>
      <c r="AC33" s="247" t="s">
        <v>98</v>
      </c>
      <c r="AD33" s="247" t="s">
        <v>98</v>
      </c>
      <c r="AE33" s="247" t="s">
        <v>31</v>
      </c>
      <c r="AF33" s="247" t="s">
        <v>348</v>
      </c>
      <c r="AG33" s="264"/>
      <c r="AH33" s="264">
        <v>46087</v>
      </c>
      <c r="AI33" s="247" t="s">
        <v>348</v>
      </c>
      <c r="AJ33" s="264">
        <v>46411</v>
      </c>
      <c r="AK33" s="264"/>
      <c r="AL33" s="247"/>
      <c r="AM33" s="264">
        <v>45853</v>
      </c>
      <c r="AN33" s="264">
        <v>45844</v>
      </c>
      <c r="AO33" s="264"/>
      <c r="AP33" s="436"/>
      <c r="AQ33" s="436"/>
      <c r="AR33" s="247"/>
      <c r="AS33" s="247"/>
      <c r="AT33" s="247"/>
      <c r="AU33" s="247"/>
      <c r="AV33" s="249" t="s">
        <v>355</v>
      </c>
      <c r="AW33" s="264">
        <v>45677</v>
      </c>
      <c r="AX33" s="354">
        <f t="shared" si="7"/>
        <v>46042</v>
      </c>
      <c r="AY33" s="249"/>
      <c r="AZ33" s="261"/>
      <c r="BA33" s="317"/>
    </row>
    <row r="34" spans="1:53" x14ac:dyDescent="0.35">
      <c r="A34" s="247">
        <v>27</v>
      </c>
      <c r="B34" s="258">
        <v>254</v>
      </c>
      <c r="C34" s="324" t="s">
        <v>821</v>
      </c>
      <c r="D34" s="303">
        <v>33260199</v>
      </c>
      <c r="E34" s="305" t="s">
        <v>822</v>
      </c>
      <c r="F34" s="473"/>
      <c r="G34" s="473"/>
      <c r="H34" s="354">
        <v>45127</v>
      </c>
      <c r="I34" s="462">
        <f t="shared" ca="1" si="4"/>
        <v>19</v>
      </c>
      <c r="J34" s="247" t="s">
        <v>383</v>
      </c>
      <c r="K34" s="247" t="s">
        <v>208</v>
      </c>
      <c r="L34" s="248" t="s">
        <v>12</v>
      </c>
      <c r="M34" s="249" t="s">
        <v>239</v>
      </c>
      <c r="N34" s="250" t="s">
        <v>882</v>
      </c>
      <c r="O34" s="305"/>
      <c r="P34" s="305"/>
      <c r="Q34" s="355" t="s">
        <v>932</v>
      </c>
      <c r="R34" s="247">
        <v>8316</v>
      </c>
      <c r="S34" s="247" t="s">
        <v>4</v>
      </c>
      <c r="T34" s="247" t="s">
        <v>5</v>
      </c>
      <c r="U34" s="354">
        <v>32112</v>
      </c>
      <c r="V34" s="247"/>
      <c r="W34" s="247"/>
      <c r="X34" s="247"/>
      <c r="Y34" s="247" t="e">
        <f>DATEDIF(U34,#REF!,"Y")</f>
        <v>#REF!</v>
      </c>
      <c r="Z34" s="245">
        <f t="shared" ref="Z34:Z52" ca="1" si="8">DATEDIF(H34,$H$5,"MD")</f>
        <v>19</v>
      </c>
      <c r="AA34" s="245">
        <f t="shared" ref="AA34:AA52" ca="1" si="9">DATEDIF(H34,$H$5,"YM")</f>
        <v>2</v>
      </c>
      <c r="AB34" s="245">
        <f t="shared" ref="AB34:AB52" ca="1" si="10">DATEDIF(H34,$H$5,"Y")</f>
        <v>2</v>
      </c>
      <c r="AC34" s="247" t="s">
        <v>98</v>
      </c>
      <c r="AD34" s="247" t="s">
        <v>98</v>
      </c>
      <c r="AE34" s="247" t="s">
        <v>31</v>
      </c>
      <c r="AF34" s="247" t="s">
        <v>348</v>
      </c>
      <c r="AG34" s="264"/>
      <c r="AH34" s="264">
        <v>46253</v>
      </c>
      <c r="AI34" s="247" t="s">
        <v>348</v>
      </c>
      <c r="AJ34" s="264">
        <v>45864</v>
      </c>
      <c r="AK34" s="264"/>
      <c r="AL34" s="247" t="s">
        <v>348</v>
      </c>
      <c r="AM34" s="264">
        <v>45958</v>
      </c>
      <c r="AN34" s="264">
        <v>45781</v>
      </c>
      <c r="AO34" s="264"/>
      <c r="AP34" s="247"/>
      <c r="AQ34" s="436">
        <v>46430</v>
      </c>
      <c r="AR34" s="436">
        <v>46047</v>
      </c>
      <c r="AS34" s="354"/>
      <c r="AT34" s="264">
        <v>45624</v>
      </c>
      <c r="AU34" s="436">
        <v>45727</v>
      </c>
      <c r="AV34" s="249" t="s">
        <v>355</v>
      </c>
      <c r="AW34" s="264">
        <v>45495</v>
      </c>
      <c r="AX34" s="354">
        <f t="shared" si="7"/>
        <v>45860</v>
      </c>
      <c r="AY34" s="249"/>
      <c r="AZ34" s="261"/>
      <c r="BA34" s="317"/>
    </row>
    <row r="35" spans="1:53" x14ac:dyDescent="0.35">
      <c r="A35" s="247">
        <v>28</v>
      </c>
      <c r="B35" s="258">
        <v>257</v>
      </c>
      <c r="C35" s="324" t="s">
        <v>827</v>
      </c>
      <c r="D35" s="303">
        <v>26909204</v>
      </c>
      <c r="E35" s="305" t="s">
        <v>828</v>
      </c>
      <c r="F35" s="473"/>
      <c r="G35" s="473"/>
      <c r="H35" s="354">
        <v>45195</v>
      </c>
      <c r="I35" s="462">
        <f t="shared" ca="1" si="4"/>
        <v>13</v>
      </c>
      <c r="J35" s="247" t="s">
        <v>383</v>
      </c>
      <c r="K35" s="247" t="s">
        <v>208</v>
      </c>
      <c r="L35" s="248" t="s">
        <v>12</v>
      </c>
      <c r="M35" s="249" t="s">
        <v>239</v>
      </c>
      <c r="N35" s="250" t="s">
        <v>882</v>
      </c>
      <c r="O35" s="305"/>
      <c r="P35" s="305"/>
      <c r="Q35" s="355" t="s">
        <v>933</v>
      </c>
      <c r="R35" s="247">
        <v>8300</v>
      </c>
      <c r="S35" s="247"/>
      <c r="T35" s="247"/>
      <c r="U35" s="354">
        <v>28759</v>
      </c>
      <c r="V35" s="247"/>
      <c r="W35" s="247"/>
      <c r="X35" s="247"/>
      <c r="Y35" s="247" t="e">
        <f>DATEDIF(U35,#REF!,"Y")</f>
        <v>#REF!</v>
      </c>
      <c r="Z35" s="245">
        <f t="shared" ca="1" si="8"/>
        <v>13</v>
      </c>
      <c r="AA35" s="245">
        <f t="shared" ca="1" si="9"/>
        <v>0</v>
      </c>
      <c r="AB35" s="245">
        <f t="shared" ca="1" si="10"/>
        <v>2</v>
      </c>
      <c r="AC35" s="247" t="s">
        <v>98</v>
      </c>
      <c r="AD35" s="247" t="s">
        <v>98</v>
      </c>
      <c r="AE35" s="247" t="s">
        <v>31</v>
      </c>
      <c r="AF35" s="247"/>
      <c r="AG35" s="264"/>
      <c r="AH35" s="264">
        <v>46226</v>
      </c>
      <c r="AI35" s="247" t="s">
        <v>348</v>
      </c>
      <c r="AJ35" s="264">
        <v>45927</v>
      </c>
      <c r="AK35" s="264"/>
      <c r="AL35" s="247"/>
      <c r="AM35" s="264">
        <v>45916</v>
      </c>
      <c r="AN35" s="264">
        <v>45859</v>
      </c>
      <c r="AO35" s="264">
        <v>45872</v>
      </c>
      <c r="AP35" s="247"/>
      <c r="AQ35" s="436"/>
      <c r="AR35" s="436">
        <v>45937</v>
      </c>
      <c r="AS35" s="354"/>
      <c r="AT35" s="264">
        <v>45624</v>
      </c>
      <c r="AU35" s="247"/>
      <c r="AV35" s="249" t="s">
        <v>355</v>
      </c>
      <c r="AW35" s="264">
        <v>45523</v>
      </c>
      <c r="AX35" s="354">
        <f t="shared" si="7"/>
        <v>45888</v>
      </c>
      <c r="AY35" s="249"/>
      <c r="AZ35" s="261"/>
      <c r="BA35" s="317"/>
    </row>
    <row r="36" spans="1:53" x14ac:dyDescent="0.35">
      <c r="A36" s="247">
        <v>29</v>
      </c>
      <c r="B36" s="258">
        <v>258</v>
      </c>
      <c r="C36" s="324" t="s">
        <v>830</v>
      </c>
      <c r="D36" s="303">
        <v>42401066</v>
      </c>
      <c r="E36" s="305" t="s">
        <v>829</v>
      </c>
      <c r="F36" s="473"/>
      <c r="G36" s="473"/>
      <c r="H36" s="354">
        <v>45195</v>
      </c>
      <c r="I36" s="462">
        <f t="shared" ca="1" si="4"/>
        <v>13</v>
      </c>
      <c r="J36" s="247" t="s">
        <v>383</v>
      </c>
      <c r="K36" s="247" t="s">
        <v>208</v>
      </c>
      <c r="L36" s="248" t="s">
        <v>12</v>
      </c>
      <c r="M36" s="249" t="s">
        <v>239</v>
      </c>
      <c r="N36" s="250" t="s">
        <v>882</v>
      </c>
      <c r="O36" s="305"/>
      <c r="P36" s="305"/>
      <c r="Q36" s="355" t="s">
        <v>934</v>
      </c>
      <c r="R36" s="247">
        <v>8316</v>
      </c>
      <c r="S36" s="247"/>
      <c r="T36" s="247"/>
      <c r="U36" s="354">
        <v>35908</v>
      </c>
      <c r="V36" s="247"/>
      <c r="W36" s="247"/>
      <c r="X36" s="247"/>
      <c r="Y36" s="247" t="e">
        <f>DATEDIF(U36,#REF!,"Y")</f>
        <v>#REF!</v>
      </c>
      <c r="Z36" s="245">
        <f t="shared" ca="1" si="8"/>
        <v>13</v>
      </c>
      <c r="AA36" s="245">
        <f t="shared" ca="1" si="9"/>
        <v>0</v>
      </c>
      <c r="AB36" s="245">
        <f t="shared" ca="1" si="10"/>
        <v>2</v>
      </c>
      <c r="AC36" s="247" t="s">
        <v>98</v>
      </c>
      <c r="AD36" s="247" t="s">
        <v>98</v>
      </c>
      <c r="AE36" s="247"/>
      <c r="AF36" s="247"/>
      <c r="AG36" s="264"/>
      <c r="AH36" s="264">
        <v>45820</v>
      </c>
      <c r="AI36" s="247" t="s">
        <v>348</v>
      </c>
      <c r="AJ36" s="264">
        <v>45927</v>
      </c>
      <c r="AK36" s="264"/>
      <c r="AL36" s="247"/>
      <c r="AM36" s="264">
        <v>45853</v>
      </c>
      <c r="AN36" s="264">
        <v>46093</v>
      </c>
      <c r="AO36" s="264">
        <v>45596</v>
      </c>
      <c r="AP36" s="247"/>
      <c r="AQ36" s="247"/>
      <c r="AR36" s="436">
        <v>46146</v>
      </c>
      <c r="AS36" s="354"/>
      <c r="AT36" s="436">
        <v>45624</v>
      </c>
      <c r="AU36" s="436">
        <v>46208</v>
      </c>
      <c r="AV36" s="249" t="s">
        <v>355</v>
      </c>
      <c r="AW36" s="264">
        <v>45526</v>
      </c>
      <c r="AX36" s="354">
        <f t="shared" si="7"/>
        <v>45891</v>
      </c>
      <c r="AY36" s="249"/>
      <c r="AZ36" s="261"/>
      <c r="BA36" s="317"/>
    </row>
    <row r="37" spans="1:53" x14ac:dyDescent="0.35">
      <c r="A37" s="247">
        <v>30</v>
      </c>
      <c r="B37" s="258">
        <v>259</v>
      </c>
      <c r="C37" s="324" t="s">
        <v>831</v>
      </c>
      <c r="D37" s="303">
        <v>25725210</v>
      </c>
      <c r="E37" s="305" t="s">
        <v>832</v>
      </c>
      <c r="F37" s="473"/>
      <c r="G37" s="473"/>
      <c r="H37" s="354">
        <v>45202</v>
      </c>
      <c r="I37" s="462">
        <f t="shared" ca="1" si="4"/>
        <v>6</v>
      </c>
      <c r="J37" s="247" t="s">
        <v>666</v>
      </c>
      <c r="K37" s="247" t="s">
        <v>84</v>
      </c>
      <c r="L37" s="248" t="s">
        <v>12</v>
      </c>
      <c r="M37" s="249" t="s">
        <v>239</v>
      </c>
      <c r="N37" s="305" t="s">
        <v>618</v>
      </c>
      <c r="O37" s="305"/>
      <c r="P37" s="305"/>
      <c r="Q37" s="477"/>
      <c r="R37" s="247">
        <v>8300</v>
      </c>
      <c r="S37" s="247"/>
      <c r="T37" s="247"/>
      <c r="U37" s="354">
        <v>28011</v>
      </c>
      <c r="V37" s="247"/>
      <c r="W37" s="247"/>
      <c r="X37" s="247"/>
      <c r="Y37" s="247" t="e">
        <f>DATEDIF(U37,#REF!,"Y")</f>
        <v>#REF!</v>
      </c>
      <c r="Z37" s="245">
        <f t="shared" ca="1" si="8"/>
        <v>6</v>
      </c>
      <c r="AA37" s="245">
        <f t="shared" ca="1" si="9"/>
        <v>0</v>
      </c>
      <c r="AB37" s="245">
        <f t="shared" ca="1" si="10"/>
        <v>2</v>
      </c>
      <c r="AC37" s="247" t="s">
        <v>24</v>
      </c>
      <c r="AD37" s="247" t="s">
        <v>24</v>
      </c>
      <c r="AE37" s="247"/>
      <c r="AF37" s="247"/>
      <c r="AG37" s="264"/>
      <c r="AH37" s="264"/>
      <c r="AI37" s="247"/>
      <c r="AJ37" s="264"/>
      <c r="AK37" s="264"/>
      <c r="AL37" s="247"/>
      <c r="AM37" s="264"/>
      <c r="AN37" s="247"/>
      <c r="AO37" s="247"/>
      <c r="AP37" s="247"/>
      <c r="AQ37" s="247"/>
      <c r="AR37" s="436"/>
      <c r="AS37" s="247"/>
      <c r="AT37" s="247"/>
      <c r="AU37" s="436"/>
      <c r="AV37" s="249" t="s">
        <v>355</v>
      </c>
      <c r="AW37" s="264">
        <v>45271</v>
      </c>
      <c r="AX37" s="354">
        <f>AW37+365</f>
        <v>45636</v>
      </c>
      <c r="AY37" s="249"/>
      <c r="AZ37" s="261"/>
      <c r="BA37" s="317"/>
    </row>
    <row r="38" spans="1:53" x14ac:dyDescent="0.35">
      <c r="A38" s="247">
        <v>31</v>
      </c>
      <c r="B38" s="258">
        <v>260</v>
      </c>
      <c r="C38" s="324" t="s">
        <v>833</v>
      </c>
      <c r="D38" s="303">
        <v>38234443</v>
      </c>
      <c r="E38" s="305" t="s">
        <v>834</v>
      </c>
      <c r="F38" s="473"/>
      <c r="G38" s="473"/>
      <c r="H38" s="354">
        <v>45238</v>
      </c>
      <c r="I38" s="462">
        <f t="shared" ca="1" si="4"/>
        <v>1</v>
      </c>
      <c r="J38" s="247" t="s">
        <v>666</v>
      </c>
      <c r="K38" s="247" t="s">
        <v>84</v>
      </c>
      <c r="L38" s="248" t="s">
        <v>12</v>
      </c>
      <c r="M38" s="249" t="s">
        <v>239</v>
      </c>
      <c r="N38" s="305" t="s">
        <v>754</v>
      </c>
      <c r="O38" s="305"/>
      <c r="P38" s="305"/>
      <c r="Q38" s="477"/>
      <c r="R38" s="247">
        <v>8300</v>
      </c>
      <c r="S38" s="247"/>
      <c r="T38" s="247"/>
      <c r="U38" s="354">
        <v>34455</v>
      </c>
      <c r="V38" s="247"/>
      <c r="W38" s="247"/>
      <c r="X38" s="247"/>
      <c r="Y38" s="247" t="e">
        <f>DATEDIF(U38,#REF!,"Y")</f>
        <v>#REF!</v>
      </c>
      <c r="Z38" s="245">
        <f t="shared" ca="1" si="8"/>
        <v>1</v>
      </c>
      <c r="AA38" s="245">
        <f t="shared" ca="1" si="9"/>
        <v>11</v>
      </c>
      <c r="AB38" s="245">
        <f t="shared" ca="1" si="10"/>
        <v>1</v>
      </c>
      <c r="AC38" s="247" t="s">
        <v>24</v>
      </c>
      <c r="AD38" s="247" t="s">
        <v>24</v>
      </c>
      <c r="AE38" s="247" t="s">
        <v>31</v>
      </c>
      <c r="AF38" s="247"/>
      <c r="AG38" s="264"/>
      <c r="AH38" s="264"/>
      <c r="AI38" s="247"/>
      <c r="AJ38" s="264"/>
      <c r="AK38" s="264"/>
      <c r="AL38" s="247"/>
      <c r="AM38" s="264"/>
      <c r="AN38" s="247"/>
      <c r="AO38" s="247"/>
      <c r="AP38" s="247"/>
      <c r="AQ38" s="247"/>
      <c r="AR38" s="436"/>
      <c r="AS38" s="247"/>
      <c r="AT38" s="247"/>
      <c r="AU38" s="436"/>
      <c r="AV38" s="249" t="s">
        <v>355</v>
      </c>
      <c r="AW38" s="264"/>
      <c r="AX38" s="354"/>
      <c r="AY38" s="249"/>
      <c r="AZ38" s="261"/>
      <c r="BA38" s="317"/>
    </row>
    <row r="39" spans="1:53" x14ac:dyDescent="0.35">
      <c r="A39" s="247">
        <v>32</v>
      </c>
      <c r="B39" s="258">
        <v>263</v>
      </c>
      <c r="C39" s="324" t="s">
        <v>840</v>
      </c>
      <c r="D39" s="303">
        <v>41347579</v>
      </c>
      <c r="E39" s="305" t="s">
        <v>841</v>
      </c>
      <c r="F39" s="473"/>
      <c r="G39" s="473"/>
      <c r="H39" s="354">
        <v>45313</v>
      </c>
      <c r="I39" s="462">
        <f t="shared" ca="1" si="4"/>
        <v>17</v>
      </c>
      <c r="J39" s="247" t="s">
        <v>383</v>
      </c>
      <c r="K39" s="247" t="s">
        <v>208</v>
      </c>
      <c r="L39" s="248" t="s">
        <v>12</v>
      </c>
      <c r="M39" s="249" t="s">
        <v>239</v>
      </c>
      <c r="N39" s="250" t="s">
        <v>882</v>
      </c>
      <c r="O39" s="305" t="s">
        <v>842</v>
      </c>
      <c r="P39" s="305"/>
      <c r="Q39" s="355" t="s">
        <v>935</v>
      </c>
      <c r="R39" s="247">
        <v>8300</v>
      </c>
      <c r="S39" s="247" t="s">
        <v>5</v>
      </c>
      <c r="T39" s="247" t="s">
        <v>5</v>
      </c>
      <c r="U39" s="354">
        <v>36096</v>
      </c>
      <c r="V39" s="247">
        <v>2994058656</v>
      </c>
      <c r="W39" s="247"/>
      <c r="X39" s="247"/>
      <c r="Y39" s="247" t="e">
        <f>DATEDIF(U39,#REF!,"Y")</f>
        <v>#REF!</v>
      </c>
      <c r="Z39" s="245">
        <f t="shared" ca="1" si="8"/>
        <v>17</v>
      </c>
      <c r="AA39" s="245">
        <f t="shared" ca="1" si="9"/>
        <v>8</v>
      </c>
      <c r="AB39" s="245">
        <f t="shared" ca="1" si="10"/>
        <v>1</v>
      </c>
      <c r="AC39" s="247" t="s">
        <v>98</v>
      </c>
      <c r="AD39" s="247" t="s">
        <v>98</v>
      </c>
      <c r="AE39" s="247" t="s">
        <v>31</v>
      </c>
      <c r="AF39" s="247"/>
      <c r="AG39" s="264"/>
      <c r="AH39" s="264">
        <v>46082</v>
      </c>
      <c r="AI39" s="247" t="s">
        <v>348</v>
      </c>
      <c r="AJ39" s="264">
        <v>46041</v>
      </c>
      <c r="AK39" s="264"/>
      <c r="AL39" s="247"/>
      <c r="AM39" s="264"/>
      <c r="AN39" s="247"/>
      <c r="AO39" s="247"/>
      <c r="AP39" s="247"/>
      <c r="AQ39" s="436">
        <v>46430</v>
      </c>
      <c r="AR39" s="436">
        <v>45809</v>
      </c>
      <c r="AS39" s="264"/>
      <c r="AT39" s="264">
        <v>45889</v>
      </c>
      <c r="AU39" s="264">
        <v>46129</v>
      </c>
      <c r="AV39" s="249" t="s">
        <v>355</v>
      </c>
      <c r="AW39" s="264">
        <v>45649</v>
      </c>
      <c r="AX39" s="354">
        <f>AW39+365</f>
        <v>46014</v>
      </c>
      <c r="AY39" s="249"/>
      <c r="AZ39" s="261"/>
      <c r="BA39" s="317"/>
    </row>
    <row r="40" spans="1:53" x14ac:dyDescent="0.35">
      <c r="A40" s="247">
        <v>33</v>
      </c>
      <c r="B40" s="258">
        <v>266</v>
      </c>
      <c r="C40" s="324" t="s">
        <v>849</v>
      </c>
      <c r="D40" s="303">
        <v>27666413</v>
      </c>
      <c r="E40" s="305" t="s">
        <v>850</v>
      </c>
      <c r="F40" s="473"/>
      <c r="G40" s="473"/>
      <c r="H40" s="354">
        <v>45400</v>
      </c>
      <c r="I40" s="462">
        <f t="shared" ca="1" si="4"/>
        <v>21</v>
      </c>
      <c r="J40" s="247" t="s">
        <v>666</v>
      </c>
      <c r="K40" s="247" t="s">
        <v>84</v>
      </c>
      <c r="L40" s="248" t="s">
        <v>12</v>
      </c>
      <c r="M40" s="249" t="s">
        <v>239</v>
      </c>
      <c r="N40" s="305" t="s">
        <v>754</v>
      </c>
      <c r="O40" s="305" t="s">
        <v>948</v>
      </c>
      <c r="P40" s="305"/>
      <c r="Q40" s="477"/>
      <c r="R40" s="247">
        <v>8300</v>
      </c>
      <c r="S40" s="247" t="s">
        <v>5</v>
      </c>
      <c r="T40" s="247" t="s">
        <v>5</v>
      </c>
      <c r="U40" s="354">
        <v>29096</v>
      </c>
      <c r="V40" s="247"/>
      <c r="W40" s="247"/>
      <c r="X40" s="247"/>
      <c r="Y40" s="247" t="e">
        <f>DATEDIF(U40,#REF!,"Y")</f>
        <v>#REF!</v>
      </c>
      <c r="Z40" s="245">
        <f t="shared" ca="1" si="8"/>
        <v>21</v>
      </c>
      <c r="AA40" s="245">
        <f t="shared" ca="1" si="9"/>
        <v>5</v>
      </c>
      <c r="AB40" s="245">
        <f t="shared" ca="1" si="10"/>
        <v>1</v>
      </c>
      <c r="AC40" s="247"/>
      <c r="AD40" s="247"/>
      <c r="AE40" s="247"/>
      <c r="AF40" s="247"/>
      <c r="AG40" s="264"/>
      <c r="AH40" s="264"/>
      <c r="AI40" s="247"/>
      <c r="AJ40" s="264"/>
      <c r="AK40" s="264"/>
      <c r="AL40" s="247"/>
      <c r="AM40" s="264"/>
      <c r="AN40" s="247"/>
      <c r="AO40" s="247"/>
      <c r="AP40" s="247"/>
      <c r="AQ40" s="247"/>
      <c r="AR40" s="247"/>
      <c r="AS40" s="247"/>
      <c r="AT40" s="247"/>
      <c r="AU40" s="436"/>
      <c r="AV40" s="249" t="s">
        <v>355</v>
      </c>
      <c r="AW40" s="264"/>
      <c r="AX40" s="354"/>
      <c r="AY40" s="249"/>
      <c r="AZ40" s="261"/>
      <c r="BA40" s="317"/>
    </row>
    <row r="41" spans="1:53" x14ac:dyDescent="0.35">
      <c r="A41" s="247">
        <v>34</v>
      </c>
      <c r="B41" s="258">
        <v>270</v>
      </c>
      <c r="C41" s="324" t="s">
        <v>857</v>
      </c>
      <c r="D41" s="303">
        <v>30010394</v>
      </c>
      <c r="E41" s="305" t="s">
        <v>861</v>
      </c>
      <c r="F41" s="473"/>
      <c r="G41" s="473"/>
      <c r="H41" s="354">
        <v>45426</v>
      </c>
      <c r="I41" s="462">
        <f t="shared" ca="1" si="4"/>
        <v>25</v>
      </c>
      <c r="J41" s="247" t="s">
        <v>666</v>
      </c>
      <c r="K41" s="247" t="s">
        <v>84</v>
      </c>
      <c r="L41" s="248" t="s">
        <v>12</v>
      </c>
      <c r="M41" s="249" t="s">
        <v>239</v>
      </c>
      <c r="N41" s="243" t="s">
        <v>754</v>
      </c>
      <c r="O41" s="305"/>
      <c r="P41" s="305"/>
      <c r="Q41" s="477"/>
      <c r="R41" s="247">
        <v>8300</v>
      </c>
      <c r="S41" s="247"/>
      <c r="T41" s="247"/>
      <c r="U41" s="354"/>
      <c r="V41" s="247"/>
      <c r="W41" s="247"/>
      <c r="X41" s="247"/>
      <c r="Y41" s="247" t="e">
        <f>DATEDIF(U41,#REF!,"Y")</f>
        <v>#REF!</v>
      </c>
      <c r="Z41" s="245">
        <f t="shared" ca="1" si="8"/>
        <v>25</v>
      </c>
      <c r="AA41" s="245">
        <f t="shared" ca="1" si="9"/>
        <v>4</v>
      </c>
      <c r="AB41" s="245">
        <f t="shared" ca="1" si="10"/>
        <v>1</v>
      </c>
      <c r="AC41" s="247"/>
      <c r="AD41" s="247"/>
      <c r="AE41" s="247"/>
      <c r="AF41" s="247"/>
      <c r="AG41" s="264"/>
      <c r="AH41" s="264"/>
      <c r="AI41" s="247"/>
      <c r="AJ41" s="264"/>
      <c r="AK41" s="264"/>
      <c r="AL41" s="247"/>
      <c r="AM41" s="264"/>
      <c r="AN41" s="247"/>
      <c r="AO41" s="247"/>
      <c r="AP41" s="247"/>
      <c r="AQ41" s="247"/>
      <c r="AR41" s="247"/>
      <c r="AS41" s="247"/>
      <c r="AT41" s="247"/>
      <c r="AU41" s="436"/>
      <c r="AV41" s="249" t="s">
        <v>355</v>
      </c>
      <c r="AW41" s="264"/>
      <c r="AX41" s="354"/>
      <c r="AY41" s="249"/>
      <c r="AZ41" s="261"/>
      <c r="BA41" s="317"/>
    </row>
    <row r="42" spans="1:53" x14ac:dyDescent="0.35">
      <c r="A42" s="247">
        <v>35</v>
      </c>
      <c r="B42" s="258">
        <v>272</v>
      </c>
      <c r="C42" s="324" t="s">
        <v>866</v>
      </c>
      <c r="D42" s="303">
        <v>42552238</v>
      </c>
      <c r="E42" s="305" t="s">
        <v>867</v>
      </c>
      <c r="F42" s="473"/>
      <c r="G42" s="473"/>
      <c r="H42" s="354">
        <v>45446</v>
      </c>
      <c r="I42" s="462">
        <f t="shared" ca="1" si="4"/>
        <v>6</v>
      </c>
      <c r="J42" s="247" t="s">
        <v>389</v>
      </c>
      <c r="K42" s="247" t="s">
        <v>207</v>
      </c>
      <c r="L42" s="248" t="s">
        <v>12</v>
      </c>
      <c r="M42" s="249" t="s">
        <v>239</v>
      </c>
      <c r="N42" s="305" t="s">
        <v>877</v>
      </c>
      <c r="O42" s="305"/>
      <c r="P42" s="305"/>
      <c r="Q42" s="355" t="s">
        <v>937</v>
      </c>
      <c r="R42" s="247">
        <v>8300</v>
      </c>
      <c r="S42" s="247"/>
      <c r="T42" s="247"/>
      <c r="U42" s="354">
        <v>36621</v>
      </c>
      <c r="V42" s="247"/>
      <c r="W42" s="247"/>
      <c r="X42" s="247"/>
      <c r="Y42" s="247" t="e">
        <f>DATEDIF(U42,#REF!,"Y")</f>
        <v>#REF!</v>
      </c>
      <c r="Z42" s="245">
        <f t="shared" ca="1" si="8"/>
        <v>6</v>
      </c>
      <c r="AA42" s="245">
        <f t="shared" ca="1" si="9"/>
        <v>4</v>
      </c>
      <c r="AB42" s="245">
        <f t="shared" ca="1" si="10"/>
        <v>1</v>
      </c>
      <c r="AC42" s="247"/>
      <c r="AD42" s="247"/>
      <c r="AE42" s="247"/>
      <c r="AF42" s="247"/>
      <c r="AG42" s="264"/>
      <c r="AH42" s="264">
        <v>47092</v>
      </c>
      <c r="AI42" s="247" t="s">
        <v>367</v>
      </c>
      <c r="AJ42" s="264">
        <v>46177</v>
      </c>
      <c r="AK42" s="264"/>
      <c r="AL42" s="247"/>
      <c r="AM42" s="264"/>
      <c r="AN42" s="247"/>
      <c r="AO42" s="247"/>
      <c r="AP42" s="436"/>
      <c r="AQ42" s="436"/>
      <c r="AR42" s="247"/>
      <c r="AS42" s="436">
        <v>45869</v>
      </c>
      <c r="AT42" s="247"/>
      <c r="AU42" s="247"/>
      <c r="AV42" s="249" t="s">
        <v>355</v>
      </c>
      <c r="AW42" s="264">
        <v>45758</v>
      </c>
      <c r="AX42" s="354">
        <f>365+AW42</f>
        <v>46123</v>
      </c>
      <c r="AY42" s="249"/>
      <c r="AZ42" s="261"/>
      <c r="BA42" s="317"/>
    </row>
    <row r="43" spans="1:53" x14ac:dyDescent="0.35">
      <c r="A43" s="247">
        <v>36</v>
      </c>
      <c r="B43" s="258">
        <v>278</v>
      </c>
      <c r="C43" s="324" t="s">
        <v>880</v>
      </c>
      <c r="D43" s="303">
        <v>31076065</v>
      </c>
      <c r="E43" s="305" t="s">
        <v>881</v>
      </c>
      <c r="F43" s="473"/>
      <c r="G43" s="473"/>
      <c r="H43" s="354">
        <v>45475</v>
      </c>
      <c r="I43" s="462">
        <f t="shared" ca="1" si="4"/>
        <v>7</v>
      </c>
      <c r="J43" s="247" t="s">
        <v>383</v>
      </c>
      <c r="K43" s="247" t="s">
        <v>208</v>
      </c>
      <c r="L43" s="248" t="s">
        <v>12</v>
      </c>
      <c r="M43" s="249" t="s">
        <v>239</v>
      </c>
      <c r="N43" s="250" t="s">
        <v>882</v>
      </c>
      <c r="O43" s="305"/>
      <c r="P43" s="305"/>
      <c r="Q43" s="355" t="s">
        <v>938</v>
      </c>
      <c r="R43" s="247">
        <v>8300</v>
      </c>
      <c r="S43" s="247"/>
      <c r="T43" s="247"/>
      <c r="U43" s="354">
        <v>31363</v>
      </c>
      <c r="V43" s="247"/>
      <c r="W43" s="247"/>
      <c r="X43" s="247"/>
      <c r="Y43" s="247" t="e">
        <f>DATEDIF(U43,#REF!,"Y")</f>
        <v>#REF!</v>
      </c>
      <c r="Z43" s="245">
        <f t="shared" ca="1" si="8"/>
        <v>7</v>
      </c>
      <c r="AA43" s="245">
        <f t="shared" ca="1" si="9"/>
        <v>3</v>
      </c>
      <c r="AB43" s="245">
        <f t="shared" ca="1" si="10"/>
        <v>1</v>
      </c>
      <c r="AC43" s="247"/>
      <c r="AD43" s="247"/>
      <c r="AE43" s="247"/>
      <c r="AF43" s="247"/>
      <c r="AG43" s="264"/>
      <c r="AH43" s="264">
        <v>46059</v>
      </c>
      <c r="AI43" s="247"/>
      <c r="AJ43" s="264">
        <v>46206</v>
      </c>
      <c r="AK43" s="264"/>
      <c r="AL43" s="247"/>
      <c r="AM43" s="264">
        <v>46074</v>
      </c>
      <c r="AN43" s="264">
        <v>46442</v>
      </c>
      <c r="AO43" s="247"/>
      <c r="AP43" s="247"/>
      <c r="AQ43" s="436"/>
      <c r="AR43" s="436"/>
      <c r="AS43" s="247"/>
      <c r="AT43" s="247"/>
      <c r="AU43" s="247"/>
      <c r="AV43" s="249" t="s">
        <v>355</v>
      </c>
      <c r="AW43" s="264">
        <v>45467</v>
      </c>
      <c r="AX43" s="354">
        <f>365+AW43</f>
        <v>45832</v>
      </c>
      <c r="AY43" s="249"/>
      <c r="AZ43" s="261"/>
      <c r="BA43" s="317"/>
    </row>
    <row r="44" spans="1:53" x14ac:dyDescent="0.35">
      <c r="A44" s="247">
        <v>37</v>
      </c>
      <c r="B44" s="258">
        <v>280</v>
      </c>
      <c r="C44" s="324" t="s">
        <v>886</v>
      </c>
      <c r="D44" s="303">
        <v>41437850</v>
      </c>
      <c r="E44" s="305" t="s">
        <v>887</v>
      </c>
      <c r="F44" s="473"/>
      <c r="G44" s="473"/>
      <c r="H44" s="354">
        <v>45520</v>
      </c>
      <c r="I44" s="462">
        <f t="shared" ca="1" si="4"/>
        <v>23</v>
      </c>
      <c r="J44" s="247" t="s">
        <v>666</v>
      </c>
      <c r="K44" s="247" t="s">
        <v>84</v>
      </c>
      <c r="L44" s="248" t="s">
        <v>12</v>
      </c>
      <c r="M44" s="249" t="s">
        <v>239</v>
      </c>
      <c r="N44" s="305" t="s">
        <v>754</v>
      </c>
      <c r="O44" s="305"/>
      <c r="P44" s="305"/>
      <c r="R44" s="247">
        <v>8300</v>
      </c>
      <c r="S44" s="247"/>
      <c r="T44" s="247"/>
      <c r="U44" s="354"/>
      <c r="V44" s="247"/>
      <c r="W44" s="247"/>
      <c r="X44" s="247"/>
      <c r="Y44" s="247" t="e">
        <f>DATEDIF(U44,#REF!,"Y")</f>
        <v>#REF!</v>
      </c>
      <c r="Z44" s="245">
        <f t="shared" ca="1" si="8"/>
        <v>23</v>
      </c>
      <c r="AA44" s="245">
        <f t="shared" ca="1" si="9"/>
        <v>1</v>
      </c>
      <c r="AB44" s="245">
        <f t="shared" ca="1" si="10"/>
        <v>1</v>
      </c>
      <c r="AC44" s="247"/>
      <c r="AD44" s="247"/>
      <c r="AE44" s="247"/>
      <c r="AF44" s="247"/>
      <c r="AG44" s="264"/>
      <c r="AH44" s="264"/>
      <c r="AI44" s="247"/>
      <c r="AJ44" s="264"/>
      <c r="AK44" s="264"/>
      <c r="AL44" s="247"/>
      <c r="AM44" s="264"/>
      <c r="AN44" s="247"/>
      <c r="AO44" s="247"/>
      <c r="AP44" s="247"/>
      <c r="AQ44" s="247"/>
      <c r="AR44" s="247"/>
      <c r="AS44" s="247"/>
      <c r="AT44" s="436"/>
      <c r="AU44" s="247"/>
      <c r="AV44" s="249" t="s">
        <v>355</v>
      </c>
      <c r="AW44" s="264"/>
      <c r="AX44" s="354"/>
      <c r="AY44" s="249"/>
      <c r="AZ44" s="261"/>
      <c r="BA44" s="317"/>
    </row>
    <row r="45" spans="1:53" x14ac:dyDescent="0.35">
      <c r="A45" s="247">
        <v>38</v>
      </c>
      <c r="B45" s="258">
        <v>283</v>
      </c>
      <c r="C45" s="324" t="s">
        <v>893</v>
      </c>
      <c r="D45" s="303">
        <v>30496391</v>
      </c>
      <c r="E45" s="305" t="s">
        <v>895</v>
      </c>
      <c r="F45" s="473"/>
      <c r="G45" s="473"/>
      <c r="H45" s="354">
        <v>45675</v>
      </c>
      <c r="I45" s="462">
        <f t="shared" ca="1" si="4"/>
        <v>21</v>
      </c>
      <c r="J45" s="247" t="s">
        <v>383</v>
      </c>
      <c r="K45" s="247" t="s">
        <v>208</v>
      </c>
      <c r="L45" s="248" t="s">
        <v>12</v>
      </c>
      <c r="M45" s="249" t="s">
        <v>239</v>
      </c>
      <c r="N45" s="305" t="s">
        <v>894</v>
      </c>
      <c r="O45" s="305"/>
      <c r="P45" s="305"/>
      <c r="Q45" s="355" t="s">
        <v>947</v>
      </c>
      <c r="R45" s="247">
        <v>8300</v>
      </c>
      <c r="S45" s="247"/>
      <c r="T45" s="247"/>
      <c r="U45" s="354"/>
      <c r="V45" s="247"/>
      <c r="W45" s="247"/>
      <c r="X45" s="247"/>
      <c r="Y45" s="247" t="e">
        <f>DATEDIF(U45,#REF!,"Y")</f>
        <v>#REF!</v>
      </c>
      <c r="Z45" s="245">
        <f t="shared" ca="1" si="8"/>
        <v>21</v>
      </c>
      <c r="AA45" s="245">
        <f t="shared" ca="1" si="9"/>
        <v>8</v>
      </c>
      <c r="AB45" s="245">
        <f t="shared" ca="1" si="10"/>
        <v>0</v>
      </c>
      <c r="AC45" s="247"/>
      <c r="AD45" s="247"/>
      <c r="AE45" s="247"/>
      <c r="AF45" s="247"/>
      <c r="AG45" s="264"/>
      <c r="AH45" s="264">
        <v>46331</v>
      </c>
      <c r="AI45" s="247"/>
      <c r="AJ45" s="264">
        <v>46404</v>
      </c>
      <c r="AK45" s="264"/>
      <c r="AL45" s="247"/>
      <c r="AM45" s="264"/>
      <c r="AN45" s="247"/>
      <c r="AO45" s="247"/>
      <c r="AP45" s="264">
        <v>46412</v>
      </c>
      <c r="AQ45" s="436"/>
      <c r="AR45" s="436">
        <v>45996</v>
      </c>
      <c r="AS45" s="247"/>
      <c r="AT45" s="247"/>
      <c r="AU45" s="436"/>
      <c r="AV45" s="249" t="s">
        <v>355</v>
      </c>
      <c r="AW45" s="264"/>
      <c r="AX45" s="354"/>
      <c r="AY45" s="249"/>
      <c r="AZ45" s="261"/>
      <c r="BA45" s="317"/>
    </row>
    <row r="46" spans="1:53" x14ac:dyDescent="0.35">
      <c r="A46" s="247">
        <v>39</v>
      </c>
      <c r="B46" s="258">
        <v>284</v>
      </c>
      <c r="C46" s="324" t="s">
        <v>896</v>
      </c>
      <c r="D46" s="303">
        <v>26458084</v>
      </c>
      <c r="E46" s="305" t="s">
        <v>897</v>
      </c>
      <c r="F46" s="473"/>
      <c r="G46" s="473"/>
      <c r="H46" s="354">
        <v>45663</v>
      </c>
      <c r="I46" s="462">
        <f t="shared" ca="1" si="4"/>
        <v>3</v>
      </c>
      <c r="J46" s="247"/>
      <c r="K46" s="247" t="s">
        <v>207</v>
      </c>
      <c r="L46" s="248" t="s">
        <v>12</v>
      </c>
      <c r="M46" s="249" t="s">
        <v>239</v>
      </c>
      <c r="N46" s="305"/>
      <c r="O46" s="305"/>
      <c r="P46" s="305"/>
      <c r="Q46" s="355" t="s">
        <v>942</v>
      </c>
      <c r="R46" s="247">
        <v>8300</v>
      </c>
      <c r="S46" s="247"/>
      <c r="T46" s="247"/>
      <c r="U46" s="354"/>
      <c r="V46" s="247"/>
      <c r="W46" s="247"/>
      <c r="X46" s="247"/>
      <c r="Y46" s="247" t="e">
        <f>DATEDIF(U46,#REF!,"Y")</f>
        <v>#REF!</v>
      </c>
      <c r="Z46" s="245">
        <f t="shared" ca="1" si="8"/>
        <v>3</v>
      </c>
      <c r="AA46" s="245">
        <f t="shared" ca="1" si="9"/>
        <v>9</v>
      </c>
      <c r="AB46" s="245">
        <f t="shared" ca="1" si="10"/>
        <v>0</v>
      </c>
      <c r="AC46" s="247"/>
      <c r="AD46" s="247"/>
      <c r="AE46" s="247"/>
      <c r="AF46" s="247"/>
      <c r="AG46" s="264"/>
      <c r="AH46" s="264"/>
      <c r="AI46" s="247"/>
      <c r="AJ46" s="264"/>
      <c r="AK46" s="264"/>
      <c r="AL46" s="247"/>
      <c r="AM46" s="264"/>
      <c r="AN46" s="247"/>
      <c r="AO46" s="247"/>
      <c r="AP46" s="436"/>
      <c r="AQ46" s="436"/>
      <c r="AR46" s="436"/>
      <c r="AS46" s="247"/>
      <c r="AT46" s="436"/>
      <c r="AU46" s="247"/>
      <c r="AV46" s="249" t="s">
        <v>355</v>
      </c>
      <c r="AW46" s="264"/>
      <c r="AX46" s="354"/>
      <c r="AY46" s="249"/>
      <c r="AZ46" s="261"/>
      <c r="BA46" s="317"/>
    </row>
    <row r="47" spans="1:53" x14ac:dyDescent="0.35">
      <c r="A47" s="247">
        <v>40</v>
      </c>
      <c r="B47" s="258">
        <v>285</v>
      </c>
      <c r="C47" s="324" t="s">
        <v>898</v>
      </c>
      <c r="D47" s="303">
        <v>42646912</v>
      </c>
      <c r="E47" s="305" t="s">
        <v>899</v>
      </c>
      <c r="F47" s="473"/>
      <c r="G47" s="473"/>
      <c r="H47" s="354">
        <v>45692</v>
      </c>
      <c r="I47" s="462">
        <f t="shared" ca="1" si="4"/>
        <v>5</v>
      </c>
      <c r="J47" s="247" t="s">
        <v>666</v>
      </c>
      <c r="K47" s="247" t="s">
        <v>84</v>
      </c>
      <c r="L47" s="248" t="s">
        <v>12</v>
      </c>
      <c r="M47" s="249" t="s">
        <v>239</v>
      </c>
      <c r="N47" s="305" t="s">
        <v>904</v>
      </c>
      <c r="O47" s="305"/>
      <c r="P47" s="305"/>
      <c r="Q47" s="305"/>
      <c r="R47" s="247"/>
      <c r="S47" s="247"/>
      <c r="T47" s="247"/>
      <c r="U47" s="354"/>
      <c r="V47" s="247"/>
      <c r="W47" s="247"/>
      <c r="X47" s="247"/>
      <c r="Y47" s="247" t="e">
        <f>DATEDIF(U47,#REF!,"Y")</f>
        <v>#REF!</v>
      </c>
      <c r="Z47" s="245">
        <f t="shared" ca="1" si="8"/>
        <v>5</v>
      </c>
      <c r="AA47" s="245">
        <f t="shared" ca="1" si="9"/>
        <v>8</v>
      </c>
      <c r="AB47" s="245">
        <f t="shared" ca="1" si="10"/>
        <v>0</v>
      </c>
      <c r="AC47" s="247"/>
      <c r="AD47" s="247"/>
      <c r="AE47" s="247"/>
      <c r="AF47" s="247"/>
      <c r="AG47" s="264"/>
      <c r="AH47" s="264"/>
      <c r="AI47" s="247"/>
      <c r="AJ47" s="264"/>
      <c r="AK47" s="264"/>
      <c r="AL47" s="247"/>
      <c r="AM47" s="264"/>
      <c r="AN47" s="247"/>
      <c r="AO47" s="247"/>
      <c r="AP47" s="247"/>
      <c r="AQ47" s="247"/>
      <c r="AR47" s="247"/>
      <c r="AS47" s="247"/>
      <c r="AT47" s="436"/>
      <c r="AU47" s="247"/>
      <c r="AV47" s="249" t="s">
        <v>355</v>
      </c>
      <c r="AW47" s="264"/>
      <c r="AX47" s="354"/>
      <c r="AY47" s="249"/>
      <c r="AZ47" s="261"/>
      <c r="BA47" s="317"/>
    </row>
    <row r="48" spans="1:53" x14ac:dyDescent="0.35">
      <c r="A48" s="247">
        <v>41</v>
      </c>
      <c r="B48" s="258">
        <v>286</v>
      </c>
      <c r="C48" s="324" t="s">
        <v>900</v>
      </c>
      <c r="D48" s="303">
        <v>47786598</v>
      </c>
      <c r="E48" s="305" t="s">
        <v>902</v>
      </c>
      <c r="F48" s="473"/>
      <c r="G48" s="473"/>
      <c r="H48" s="354">
        <v>45717</v>
      </c>
      <c r="I48" s="462">
        <f t="shared" ca="1" si="4"/>
        <v>8</v>
      </c>
      <c r="J48" s="247" t="s">
        <v>666</v>
      </c>
      <c r="K48" s="247" t="s">
        <v>84</v>
      </c>
      <c r="L48" s="248" t="s">
        <v>12</v>
      </c>
      <c r="M48" s="249" t="s">
        <v>239</v>
      </c>
      <c r="N48" s="305" t="s">
        <v>754</v>
      </c>
      <c r="O48" s="305"/>
      <c r="P48" s="305"/>
      <c r="Q48" s="305"/>
      <c r="R48" s="247"/>
      <c r="S48" s="247"/>
      <c r="T48" s="247"/>
      <c r="U48" s="354"/>
      <c r="V48" s="247"/>
      <c r="W48" s="247"/>
      <c r="X48" s="247"/>
      <c r="Y48" s="247" t="e">
        <f>DATEDIF(U48,#REF!,"Y")</f>
        <v>#REF!</v>
      </c>
      <c r="Z48" s="245">
        <f t="shared" ca="1" si="8"/>
        <v>8</v>
      </c>
      <c r="AA48" s="245">
        <f t="shared" ca="1" si="9"/>
        <v>7</v>
      </c>
      <c r="AB48" s="245">
        <f t="shared" ca="1" si="10"/>
        <v>0</v>
      </c>
      <c r="AC48" s="247"/>
      <c r="AD48" s="247"/>
      <c r="AE48" s="247"/>
      <c r="AF48" s="247"/>
      <c r="AG48" s="264"/>
      <c r="AH48" s="264"/>
      <c r="AI48" s="247"/>
      <c r="AJ48" s="264"/>
      <c r="AK48" s="264"/>
      <c r="AL48" s="247"/>
      <c r="AM48" s="264"/>
      <c r="AN48" s="247"/>
      <c r="AO48" s="247"/>
      <c r="AP48" s="247"/>
      <c r="AQ48" s="247"/>
      <c r="AR48" s="247"/>
      <c r="AS48" s="247"/>
      <c r="AT48" s="436"/>
      <c r="AU48" s="247"/>
      <c r="AV48" s="249" t="s">
        <v>355</v>
      </c>
      <c r="AW48" s="264"/>
      <c r="AX48" s="354"/>
      <c r="AY48" s="249"/>
      <c r="AZ48" s="261"/>
      <c r="BA48" s="317"/>
    </row>
    <row r="49" spans="1:53" x14ac:dyDescent="0.35">
      <c r="A49" s="247">
        <v>42</v>
      </c>
      <c r="B49" s="258">
        <v>287</v>
      </c>
      <c r="C49" s="324" t="s">
        <v>901</v>
      </c>
      <c r="D49" s="303">
        <v>28421853</v>
      </c>
      <c r="E49" s="305" t="s">
        <v>903</v>
      </c>
      <c r="F49" s="473"/>
      <c r="G49" s="473"/>
      <c r="H49" s="354">
        <v>45717</v>
      </c>
      <c r="I49" s="462">
        <f t="shared" ca="1" si="4"/>
        <v>8</v>
      </c>
      <c r="J49" s="247" t="s">
        <v>666</v>
      </c>
      <c r="K49" s="247" t="s">
        <v>84</v>
      </c>
      <c r="L49" s="248" t="s">
        <v>12</v>
      </c>
      <c r="M49" s="249" t="s">
        <v>239</v>
      </c>
      <c r="N49" s="305" t="s">
        <v>618</v>
      </c>
      <c r="O49" s="305"/>
      <c r="P49" s="305"/>
      <c r="Q49" s="305"/>
      <c r="R49" s="247"/>
      <c r="S49" s="247"/>
      <c r="T49" s="247"/>
      <c r="U49" s="354"/>
      <c r="V49" s="247"/>
      <c r="W49" s="247"/>
      <c r="X49" s="247"/>
      <c r="Y49" s="247" t="e">
        <f>DATEDIF(U49,#REF!,"Y")</f>
        <v>#REF!</v>
      </c>
      <c r="Z49" s="245">
        <f t="shared" ca="1" si="8"/>
        <v>8</v>
      </c>
      <c r="AA49" s="245">
        <f t="shared" ca="1" si="9"/>
        <v>7</v>
      </c>
      <c r="AB49" s="245">
        <f t="shared" ca="1" si="10"/>
        <v>0</v>
      </c>
      <c r="AC49" s="247"/>
      <c r="AD49" s="247"/>
      <c r="AE49" s="247"/>
      <c r="AF49" s="247"/>
      <c r="AG49" s="264"/>
      <c r="AH49" s="264"/>
      <c r="AI49" s="247"/>
      <c r="AJ49" s="264"/>
      <c r="AK49" s="264"/>
      <c r="AL49" s="247"/>
      <c r="AM49" s="264"/>
      <c r="AN49" s="247"/>
      <c r="AO49" s="247"/>
      <c r="AP49" s="247"/>
      <c r="AQ49" s="247"/>
      <c r="AR49" s="247"/>
      <c r="AS49" s="247"/>
      <c r="AT49" s="436"/>
      <c r="AU49" s="247"/>
      <c r="AV49" s="249" t="s">
        <v>355</v>
      </c>
      <c r="AW49" s="264"/>
      <c r="AX49" s="354"/>
      <c r="AY49" s="249"/>
      <c r="AZ49" s="261"/>
      <c r="BA49" s="317"/>
    </row>
    <row r="50" spans="1:53" x14ac:dyDescent="0.35">
      <c r="A50" s="247">
        <v>43</v>
      </c>
      <c r="B50" s="258">
        <v>289</v>
      </c>
      <c r="C50" s="324" t="s">
        <v>905</v>
      </c>
      <c r="D50" s="303">
        <v>34220175</v>
      </c>
      <c r="E50" s="305" t="s">
        <v>906</v>
      </c>
      <c r="F50" s="473"/>
      <c r="G50" s="473"/>
      <c r="H50" s="354">
        <v>45762</v>
      </c>
      <c r="I50" s="462">
        <f t="shared" ca="1" si="4"/>
        <v>24</v>
      </c>
      <c r="J50" s="247" t="s">
        <v>909</v>
      </c>
      <c r="K50" s="247" t="s">
        <v>84</v>
      </c>
      <c r="L50" s="248" t="s">
        <v>12</v>
      </c>
      <c r="M50" s="249" t="s">
        <v>239</v>
      </c>
      <c r="N50" s="305" t="s">
        <v>754</v>
      </c>
      <c r="O50" s="305"/>
      <c r="P50" s="305"/>
      <c r="Q50" s="305"/>
      <c r="R50" s="247"/>
      <c r="S50" s="247"/>
      <c r="T50" s="247"/>
      <c r="U50" s="354"/>
      <c r="V50" s="247"/>
      <c r="W50" s="247"/>
      <c r="X50" s="247"/>
      <c r="Y50" s="247" t="e">
        <f>DATEDIF(U50,#REF!,"Y")</f>
        <v>#REF!</v>
      </c>
      <c r="Z50" s="245">
        <f t="shared" ca="1" si="8"/>
        <v>24</v>
      </c>
      <c r="AA50" s="245">
        <f t="shared" ca="1" si="9"/>
        <v>5</v>
      </c>
      <c r="AB50" s="245">
        <f t="shared" ca="1" si="10"/>
        <v>0</v>
      </c>
      <c r="AC50" s="247"/>
      <c r="AD50" s="247"/>
      <c r="AE50" s="247" t="s">
        <v>31</v>
      </c>
      <c r="AF50" s="247"/>
      <c r="AG50" s="264"/>
      <c r="AH50" s="264"/>
      <c r="AI50" s="247"/>
      <c r="AJ50" s="264"/>
      <c r="AK50" s="264"/>
      <c r="AL50" s="247"/>
      <c r="AM50" s="264"/>
      <c r="AN50" s="247"/>
      <c r="AO50" s="247"/>
      <c r="AP50" s="247"/>
      <c r="AQ50" s="247"/>
      <c r="AR50" s="247"/>
      <c r="AS50" s="247"/>
      <c r="AT50" s="436"/>
      <c r="AU50" s="247"/>
      <c r="AV50" s="249" t="s">
        <v>355</v>
      </c>
      <c r="AW50" s="264"/>
      <c r="AX50" s="354"/>
      <c r="AY50" s="249"/>
      <c r="AZ50" s="261"/>
      <c r="BA50" s="317"/>
    </row>
    <row r="51" spans="1:53" x14ac:dyDescent="0.35">
      <c r="A51" s="247">
        <v>44</v>
      </c>
      <c r="B51" s="258">
        <v>291</v>
      </c>
      <c r="C51" s="324" t="s">
        <v>944</v>
      </c>
      <c r="D51" s="303">
        <v>30947522</v>
      </c>
      <c r="E51" s="305" t="s">
        <v>945</v>
      </c>
      <c r="F51" s="473"/>
      <c r="G51" s="473"/>
      <c r="H51" s="354">
        <v>45797</v>
      </c>
      <c r="I51" s="462">
        <f t="shared" ca="1" si="4"/>
        <v>19</v>
      </c>
      <c r="J51" s="247">
        <v>104306</v>
      </c>
      <c r="K51" s="247" t="s">
        <v>84</v>
      </c>
      <c r="L51" s="248" t="s">
        <v>12</v>
      </c>
      <c r="M51" s="249" t="s">
        <v>239</v>
      </c>
      <c r="N51" s="305" t="s">
        <v>946</v>
      </c>
      <c r="O51" s="305"/>
      <c r="P51" s="305"/>
      <c r="Q51" s="305"/>
      <c r="R51" s="247"/>
      <c r="S51" s="247"/>
      <c r="T51" s="247"/>
      <c r="U51" s="354"/>
      <c r="V51" s="247"/>
      <c r="W51" s="247"/>
      <c r="X51" s="247"/>
      <c r="Y51" s="247" t="e">
        <f>DATEDIF(U51,#REF!,"Y")</f>
        <v>#REF!</v>
      </c>
      <c r="Z51" s="245">
        <f t="shared" ca="1" si="8"/>
        <v>19</v>
      </c>
      <c r="AA51" s="245">
        <f t="shared" ca="1" si="9"/>
        <v>4</v>
      </c>
      <c r="AB51" s="245">
        <f t="shared" ca="1" si="10"/>
        <v>0</v>
      </c>
      <c r="AC51" s="247"/>
      <c r="AD51" s="247"/>
      <c r="AE51" s="247" t="s">
        <v>216</v>
      </c>
      <c r="AF51" s="247"/>
      <c r="AG51" s="264"/>
      <c r="AH51" s="264"/>
      <c r="AI51" s="247"/>
      <c r="AJ51" s="264"/>
      <c r="AK51" s="264"/>
      <c r="AL51" s="247"/>
      <c r="AM51" s="264"/>
      <c r="AN51" s="247"/>
      <c r="AO51" s="247"/>
      <c r="AP51" s="247"/>
      <c r="AQ51" s="247"/>
      <c r="AR51" s="247"/>
      <c r="AS51" s="247"/>
      <c r="AT51" s="436"/>
      <c r="AU51" s="247"/>
      <c r="AV51" s="249" t="s">
        <v>355</v>
      </c>
      <c r="AW51" s="264"/>
      <c r="AX51" s="354"/>
      <c r="AY51" s="249"/>
      <c r="AZ51" s="261"/>
      <c r="BA51" s="317"/>
    </row>
    <row r="52" spans="1:53" x14ac:dyDescent="0.35">
      <c r="A52" s="247">
        <v>45</v>
      </c>
      <c r="B52" s="258">
        <v>292</v>
      </c>
      <c r="C52" s="324" t="s">
        <v>951</v>
      </c>
      <c r="D52" s="303">
        <v>30947523</v>
      </c>
      <c r="E52" s="305" t="s">
        <v>949</v>
      </c>
      <c r="F52" s="473"/>
      <c r="G52" s="473"/>
      <c r="H52" s="354">
        <v>45800</v>
      </c>
      <c r="I52" s="462">
        <f t="shared" ca="1" si="4"/>
        <v>16</v>
      </c>
      <c r="J52" s="247">
        <v>104307</v>
      </c>
      <c r="K52" s="247" t="s">
        <v>950</v>
      </c>
      <c r="L52" s="248" t="s">
        <v>12</v>
      </c>
      <c r="M52" s="249" t="s">
        <v>239</v>
      </c>
      <c r="N52" s="305" t="s">
        <v>946</v>
      </c>
      <c r="O52" s="305"/>
      <c r="P52" s="305"/>
      <c r="Q52" s="305"/>
      <c r="R52" s="247"/>
      <c r="S52" s="247"/>
      <c r="T52" s="247"/>
      <c r="U52" s="354"/>
      <c r="V52" s="247"/>
      <c r="W52" s="247"/>
      <c r="X52" s="247"/>
      <c r="Y52" s="247" t="e">
        <f>DATEDIF(U52,#REF!,"Y")</f>
        <v>#REF!</v>
      </c>
      <c r="Z52" s="245">
        <f t="shared" ca="1" si="8"/>
        <v>16</v>
      </c>
      <c r="AA52" s="245">
        <f t="shared" ca="1" si="9"/>
        <v>4</v>
      </c>
      <c r="AB52" s="245">
        <f t="shared" ca="1" si="10"/>
        <v>0</v>
      </c>
      <c r="AC52" s="247"/>
      <c r="AD52" s="247"/>
      <c r="AE52" s="247" t="s">
        <v>31</v>
      </c>
      <c r="AF52" s="247"/>
      <c r="AG52" s="264"/>
      <c r="AH52" s="264"/>
      <c r="AI52" s="247"/>
      <c r="AJ52" s="264"/>
      <c r="AK52" s="264"/>
      <c r="AL52" s="247"/>
      <c r="AM52" s="264"/>
      <c r="AN52" s="247"/>
      <c r="AO52" s="247"/>
      <c r="AP52" s="247"/>
      <c r="AQ52" s="247"/>
      <c r="AR52" s="247"/>
      <c r="AS52" s="247"/>
      <c r="AT52" s="436"/>
      <c r="AU52" s="247"/>
      <c r="AV52" s="249" t="s">
        <v>355</v>
      </c>
      <c r="AW52" s="264"/>
      <c r="AX52" s="354"/>
      <c r="AY52" s="249"/>
      <c r="AZ52" s="261"/>
      <c r="BA52" s="317"/>
    </row>
    <row r="53" spans="1:53" x14ac:dyDescent="0.35">
      <c r="A53" s="247">
        <v>46</v>
      </c>
      <c r="B53" s="258">
        <v>275</v>
      </c>
      <c r="C53" s="324" t="s">
        <v>872</v>
      </c>
      <c r="D53" s="303">
        <v>39131382</v>
      </c>
      <c r="E53" s="305" t="s">
        <v>874</v>
      </c>
      <c r="F53" s="473"/>
      <c r="G53" s="473"/>
      <c r="H53" s="354">
        <v>45818</v>
      </c>
      <c r="I53" s="462">
        <f t="shared" ca="1" si="4"/>
        <v>29</v>
      </c>
      <c r="J53" s="247">
        <v>103204</v>
      </c>
      <c r="K53" s="247" t="s">
        <v>208</v>
      </c>
      <c r="L53" s="248" t="s">
        <v>12</v>
      </c>
      <c r="M53" s="249" t="s">
        <v>239</v>
      </c>
      <c r="N53" s="250" t="s">
        <v>882</v>
      </c>
      <c r="O53" s="305"/>
      <c r="P53" s="305"/>
      <c r="Q53" s="305"/>
      <c r="R53" s="247">
        <v>8300</v>
      </c>
      <c r="S53" s="247"/>
      <c r="T53" s="247"/>
      <c r="U53" s="354">
        <v>35123</v>
      </c>
      <c r="V53" s="247"/>
      <c r="W53" s="247"/>
      <c r="X53" s="247"/>
      <c r="Y53" s="247" t="e">
        <f>DATEDIF(U53,#REF!,"Y")</f>
        <v>#REF!</v>
      </c>
      <c r="Z53" s="245" t="e">
        <f>DATEDIF(H53,#REF!,"MD")</f>
        <v>#REF!</v>
      </c>
      <c r="AA53" s="245" t="e">
        <f>DATEDIF(H53,#REF!,"YM")</f>
        <v>#REF!</v>
      </c>
      <c r="AB53" s="245" t="e">
        <f>DATEDIF(H53,#REF!,"Y")</f>
        <v>#REF!</v>
      </c>
      <c r="AC53" s="247"/>
      <c r="AD53" s="247"/>
      <c r="AE53" s="247" t="s">
        <v>31</v>
      </c>
      <c r="AF53" s="247"/>
      <c r="AG53" s="264"/>
      <c r="AH53" s="264">
        <v>46271</v>
      </c>
      <c r="AI53" s="247"/>
      <c r="AJ53" s="264">
        <v>46192</v>
      </c>
      <c r="AK53" s="264"/>
      <c r="AL53" s="247" t="s">
        <v>102</v>
      </c>
      <c r="AM53" s="264">
        <v>45834</v>
      </c>
      <c r="AN53" s="264">
        <v>45789</v>
      </c>
      <c r="AO53" s="264">
        <v>45720</v>
      </c>
      <c r="AP53" s="247"/>
      <c r="AQ53" s="247"/>
      <c r="AR53" s="436"/>
      <c r="AS53" s="247"/>
      <c r="AT53" s="436"/>
      <c r="AU53" s="436"/>
      <c r="AV53" s="249" t="s">
        <v>355</v>
      </c>
      <c r="AW53" s="264">
        <v>45455</v>
      </c>
      <c r="AX53" s="354">
        <f>365+AW53</f>
        <v>45820</v>
      </c>
      <c r="AY53" s="249"/>
      <c r="AZ53" s="261"/>
      <c r="BA53" s="317"/>
    </row>
    <row r="54" spans="1:53" x14ac:dyDescent="0.35">
      <c r="A54" s="247">
        <v>47</v>
      </c>
      <c r="B54" s="258"/>
      <c r="C54" s="324"/>
      <c r="D54" s="303"/>
      <c r="E54" s="305"/>
      <c r="F54" s="473"/>
      <c r="G54" s="473"/>
      <c r="H54" s="354"/>
      <c r="I54" s="462">
        <f t="shared" ca="1" si="4"/>
        <v>9</v>
      </c>
      <c r="J54" s="247"/>
      <c r="K54" s="247"/>
      <c r="L54" s="248" t="s">
        <v>12</v>
      </c>
      <c r="M54" s="249" t="s">
        <v>239</v>
      </c>
      <c r="N54" s="250"/>
      <c r="O54" s="305"/>
      <c r="P54" s="305"/>
      <c r="Q54" s="305"/>
      <c r="R54" s="247"/>
      <c r="S54" s="247"/>
      <c r="T54" s="247"/>
      <c r="U54" s="354"/>
      <c r="V54" s="247"/>
      <c r="W54" s="247"/>
      <c r="X54" s="247"/>
      <c r="Y54" s="247" t="e">
        <f>DATEDIF(U54,#REF!,"Y")</f>
        <v>#REF!</v>
      </c>
      <c r="Z54" s="245" t="e">
        <f>DATEDIF(H54,#REF!,"MD")</f>
        <v>#REF!</v>
      </c>
      <c r="AA54" s="245" t="e">
        <f>DATEDIF(H54,#REF!,"YM")</f>
        <v>#REF!</v>
      </c>
      <c r="AB54" s="245" t="e">
        <f>DATEDIF(H54,#REF!,"Y")</f>
        <v>#REF!</v>
      </c>
      <c r="AC54" s="247"/>
      <c r="AD54" s="247"/>
      <c r="AE54" s="247"/>
      <c r="AF54" s="247"/>
      <c r="AG54" s="264"/>
      <c r="AH54" s="264"/>
      <c r="AI54" s="247"/>
      <c r="AJ54" s="264"/>
      <c r="AK54" s="264"/>
      <c r="AL54" s="247"/>
      <c r="AM54" s="264"/>
      <c r="AN54" s="264"/>
      <c r="AO54" s="264">
        <v>45720</v>
      </c>
      <c r="AP54" s="247"/>
      <c r="AQ54" s="247"/>
      <c r="AR54" s="436"/>
      <c r="AS54" s="247"/>
      <c r="AT54" s="436"/>
      <c r="AU54" s="436"/>
      <c r="AV54" s="249" t="s">
        <v>355</v>
      </c>
      <c r="AW54" s="264"/>
      <c r="AX54" s="354"/>
      <c r="AY54" s="249"/>
      <c r="AZ54" s="261"/>
      <c r="BA54" s="317"/>
    </row>
  </sheetData>
  <mergeCells count="39">
    <mergeCell ref="A1:B3"/>
    <mergeCell ref="C1:G3"/>
    <mergeCell ref="H1:H3"/>
    <mergeCell ref="A6:A7"/>
    <mergeCell ref="B6:B7"/>
    <mergeCell ref="C6:C7"/>
    <mergeCell ref="D6:D7"/>
    <mergeCell ref="E6:E7"/>
    <mergeCell ref="F6:F7"/>
    <mergeCell ref="G6:G7"/>
    <mergeCell ref="H6:H7"/>
    <mergeCell ref="J6:J7"/>
    <mergeCell ref="K6:K7"/>
    <mergeCell ref="L6:L7"/>
    <mergeCell ref="M6:M7"/>
    <mergeCell ref="I6:I7"/>
    <mergeCell ref="Z6:AB6"/>
    <mergeCell ref="AC6:AC7"/>
    <mergeCell ref="N6:N7"/>
    <mergeCell ref="O6:O7"/>
    <mergeCell ref="R6:R7"/>
    <mergeCell ref="S6:S7"/>
    <mergeCell ref="T6:T7"/>
    <mergeCell ref="U6:U7"/>
    <mergeCell ref="AQ6:AS6"/>
    <mergeCell ref="AV6:AX6"/>
    <mergeCell ref="A5:C5"/>
    <mergeCell ref="AY6:BA6"/>
    <mergeCell ref="AI6:AK6"/>
    <mergeCell ref="P6:P7"/>
    <mergeCell ref="Q6:Q7"/>
    <mergeCell ref="AD6:AD7"/>
    <mergeCell ref="AE6:AE7"/>
    <mergeCell ref="AF6:AH6"/>
    <mergeCell ref="AL6:AO6"/>
    <mergeCell ref="V6:V7"/>
    <mergeCell ref="W6:W7"/>
    <mergeCell ref="X6:X7"/>
    <mergeCell ref="Y6:Y7"/>
  </mergeCells>
  <hyperlinks>
    <hyperlink ref="AH23" r:id="rId1" display="01) RRHH\LUCERO, WALTER RICARDO\Licencia de conducir VTO 22-09-2025.pdf" xr:uid="{00000000-0004-0000-0000-000000000000}"/>
    <hyperlink ref="AJ20" r:id="rId2" display="01) RRHH\PEREZ GUSTAVO FLORENCIO\MD Vto 10-04-2027.pdf" xr:uid="{00000000-0004-0000-0000-000001000000}"/>
    <hyperlink ref="AJ23" r:id="rId3" display="01) RRHH\LUCERO, WALTER RICARDO\MD VTO 24-01-2025.pdf" xr:uid="{00000000-0004-0000-0000-000002000000}"/>
    <hyperlink ref="AH19" r:id="rId4" display="01) RRHH\PERALTA JAVIER\LICENCIA VTO 19-12-2026.pdf" xr:uid="{00000000-0004-0000-0000-000003000000}"/>
    <hyperlink ref="AJ19" r:id="rId5" display="01) RRHH\PERALTA JAVIER\MD VTO 24-01-25.pdf" xr:uid="{00000000-0004-0000-0000-000004000000}"/>
    <hyperlink ref="AJ13" r:id="rId6" display="01) RRHH\SALASSA, Gerardo\MD vto 24-01-2025.pdf" xr:uid="{00000000-0004-0000-0000-000005000000}"/>
    <hyperlink ref="AH13" r:id="rId7" display="01) RRHH\SALASSA, Gerardo\Lic. Vto. 26-11-2029.pdf" xr:uid="{00000000-0004-0000-0000-000006000000}"/>
    <hyperlink ref="AJ26" r:id="rId8" display="01) RRHH\GRIER FACUNDO\MD vto 02-02-2025.pdf" xr:uid="{00000000-0004-0000-0000-000007000000}"/>
    <hyperlink ref="AH26" r:id="rId9" display="01) RRHH\GRIER FACUNDO\Lic. Conducir Vto 20-03-2028.pdf" xr:uid="{00000000-0004-0000-0000-000008000000}"/>
    <hyperlink ref="AH17" r:id="rId10" display="01) RRHH\MEDEL, Sergio\Lic. conducir VTO 13-03-2027.pdf" xr:uid="{00000000-0004-0000-0000-000009000000}"/>
    <hyperlink ref="AJ9" r:id="rId11" display="01) RRHH\BASOALTO, Juan Manuel\MD Vto 05-03-2027.pdf" xr:uid="{00000000-0004-0000-0000-00000A000000}"/>
    <hyperlink ref="AJ14" r:id="rId12" display="01) RRHH\DOMINGUEZ, Roque Mariano\MD Vto 28-02-2027.pdf" xr:uid="{00000000-0004-0000-0000-00000B000000}"/>
    <hyperlink ref="AH29" r:id="rId13" display="01) RRHH\ALMONACID NORIEGA DANIEL\LIC DE CONDUCIR VTO 22-06-2025.pdf" xr:uid="{00000000-0004-0000-0000-00000C000000}"/>
    <hyperlink ref="AJ29" r:id="rId14" display="01) RRHH\ALMONACID NORIEGA DANIEL\MD 26-07-2025.pdf" xr:uid="{00000000-0004-0000-0000-00000D000000}"/>
    <hyperlink ref="AH16" r:id="rId15" display="01) RRHH\MORALES DIEGO CESAR\Carnet de Conducir VTO 18-09-2028.pdf" xr:uid="{00000000-0004-0000-0000-00000E000000}"/>
    <hyperlink ref="AJ16" r:id="rId16" display="01) RRHH\MORALES DIEGO CESAR\MD Vto 08-10-2025.pdf" xr:uid="{00000000-0004-0000-0000-00000F000000}"/>
    <hyperlink ref="AH15" r:id="rId17" display="01) RRHH\BELIZON JUAN ANDRES\licencia VTO 23-10-2025.pdf" xr:uid="{00000000-0004-0000-0000-000010000000}"/>
    <hyperlink ref="AJ22" r:id="rId18" display="01) RRHH\VECE,IGNACIO MARTIN\MD Vto 25-09-2026.pdf" xr:uid="{00000000-0004-0000-0000-000011000000}"/>
    <hyperlink ref="AH22" r:id="rId19" display="01) RRHH\VECE,IGNACIO MARTIN\licencia conducir VTO 10-03-2027.pdf" xr:uid="{00000000-0004-0000-0000-000012000000}"/>
    <hyperlink ref="AH12" r:id="rId20" display="01) RRHH\ESPECHE DIEGO\Lic. de Conducir Vto 25-01-2026.pdf" xr:uid="{00000000-0004-0000-0000-000013000000}"/>
    <hyperlink ref="AH20" r:id="rId21" display="01) RRHH\PEREZ GUSTAVO FLORENCIO\Lic. Conducir VTo 14-08-2025.pdf" xr:uid="{00000000-0004-0000-0000-000014000000}"/>
    <hyperlink ref="AH30" r:id="rId22" display="01) RRHH\DE CROCE MIGUEL ANGEL\Lic. de conducir VTO 18-07-2026.pdf" xr:uid="{00000000-0004-0000-0000-000015000000}"/>
    <hyperlink ref="AH32" r:id="rId23" display="01) RRHH\LAGOS RODRIGO\Licencia de conducir VTO 22-11-2027.pdf" xr:uid="{00000000-0004-0000-0000-000016000000}"/>
    <hyperlink ref="AJ15" r:id="rId24" display="01) RRHH\BELIZON JUAN ANDRES\MD Vto 25-09-2026.pdf" xr:uid="{00000000-0004-0000-0000-000017000000}"/>
    <hyperlink ref="AJ17" r:id="rId25" display="01) RRHH\MEDEL, Sergio\MD Vto 25-09-2026.pdf" xr:uid="{00000000-0004-0000-0000-000018000000}"/>
    <hyperlink ref="AJ30" r:id="rId26" display="01) RRHH\DE CROCE MIGUEL ANGEL\MD vto 31-01-2026.pdf" xr:uid="{00000000-0004-0000-0000-000019000000}"/>
    <hyperlink ref="AJ32" r:id="rId27" display="01) RRHH\LAGOS RODRIGO\MD Vto 30-08-2026.pdf" xr:uid="{00000000-0004-0000-0000-00001A000000}"/>
    <hyperlink ref="AM32" r:id="rId28" display="01) RRHH\LAGOS RODRIGO\linti.pdf" xr:uid="{00000000-0004-0000-0000-00001B000000}"/>
    <hyperlink ref="AM23" r:id="rId29" display="01) RRHH\LUCERO, WALTER RICARDO\LINTI cargas generales Vto 16-08-2025.pdf" xr:uid="{00000000-0004-0000-0000-00001C000000}"/>
    <hyperlink ref="AM29" r:id="rId30" display="01) RRHH\ALMONACID NORIEGA DANIEL\Linti Cargas grales Vto 15-7-25.pdf" xr:uid="{00000000-0004-0000-0000-00001D000000}"/>
    <hyperlink ref="AM30" r:id="rId31" display="01) RRHH\DE CROCE MIGUEL ANGEL\linti cargas grales VTO 15-01-2025.pdf" xr:uid="{00000000-0004-0000-0000-00001E000000}"/>
    <hyperlink ref="AM22" r:id="rId32" display="01) RRHH\VECE,IGNACIO MARTIN\Lic. Cargas generales Vto 05-12-2023.pdf" xr:uid="{00000000-0004-0000-0000-00001F000000}"/>
    <hyperlink ref="AM20" r:id="rId33" display="01) RRHH\PEREZ GUSTAVO FLORENCIO\linti.pdf" xr:uid="{00000000-0004-0000-0000-000020000000}"/>
    <hyperlink ref="AW8" r:id="rId34" display="01) RRHH\PIZARRO, Sigifredo\Periodico Pizarro VTO 05-01-2024.pdf" xr:uid="{00000000-0004-0000-0000-000021000000}"/>
    <hyperlink ref="AJ33" r:id="rId35" display="01) RRHH\ECHANIZ MARCO DANIEL\MD VTO 02-02-2025.pdf" xr:uid="{00000000-0004-0000-0000-000022000000}"/>
    <hyperlink ref="AH33" r:id="rId36" display="01) RRHH\ECHANIZ MARCO DANIEL\LIC. VTO 06-03-2026.pdf" xr:uid="{00000000-0004-0000-0000-000023000000}"/>
    <hyperlink ref="AQ19" r:id="rId37" display="01) RRHH\PERALTA JAVIER\Carnet eslingador y señalero VTO 29-10-2023.pdf" xr:uid="{00000000-0004-0000-0000-000024000000}"/>
    <hyperlink ref="AQ32" r:id="rId38" display="01) RRHH\LAGOS RODRIGO\Carnet eslingador y señalero VTO 29-10-2023.pdf" xr:uid="{00000000-0004-0000-0000-000025000000}"/>
    <hyperlink ref="AH14" r:id="rId39" display="01) RRHH\DOMINGUEZ, Roque Mariano\Lic. de conducir VTO 24-05-2028.pdf" xr:uid="{00000000-0004-0000-0000-000026000000}"/>
    <hyperlink ref="AJ12" r:id="rId40" display="01) RRHH\ESPECHE DIEGO\MD Vto 30-06-2025.pdf" xr:uid="{00000000-0004-0000-0000-000027000000}"/>
    <hyperlink ref="AH21" r:id="rId41" display="01) RRHH\COSTALLAT ARIEL\Licencia VTO 18-10-2026.pdf" xr:uid="{00000000-0004-0000-0000-000028000000}"/>
    <hyperlink ref="AJ21" r:id="rId42" display="01) RRHH\COSTALLAT ARIEL\MD VTO 03-10-2025.pdf" xr:uid="{00000000-0004-0000-0000-000029000000}"/>
    <hyperlink ref="AM34" r:id="rId43" display="01) RRHH\BERROCAL ALAN ALBERTO\linti Cargas Grales Vto 28-10-2025.pdf" xr:uid="{00000000-0004-0000-0000-00002A000000}"/>
    <hyperlink ref="AH34" r:id="rId44" display="01) RRHH\BERROCAL ALAN ALBERTO\Licencia de Conducir VTO 19-08-2026.pdf" xr:uid="{00000000-0004-0000-0000-00002B000000}"/>
    <hyperlink ref="AJ34" r:id="rId45" display="01) RRHH\BERROCAL ALAN ALBERTO\MD Vto 26-07-2025.pdf" xr:uid="{00000000-0004-0000-0000-00002C000000}"/>
    <hyperlink ref="AH9" r:id="rId46" display="01) RRHH\BASOALTO, Juan Manuel\licencia Vto 05-12-2025.pdf" xr:uid="{00000000-0004-0000-0000-00002D000000}"/>
    <hyperlink ref="AM35" r:id="rId47" display="01) RRHH\CASTRO ALEJANDRO JOSE\Linti Cargas grales Vto 16-9-25.pdf" xr:uid="{00000000-0004-0000-0000-00002E000000}"/>
    <hyperlink ref="AM36" r:id="rId48" display="01) RRHH\MERCADO MATIAS SEBASTIAN\LINTI Cargas Grales VTO 15-07-2025.pdf" xr:uid="{00000000-0004-0000-0000-00002F000000}"/>
    <hyperlink ref="AR32" r:id="rId49" display="01) RRHH\LAGOS RODRIGO\Carnet Operador equipo de izaje Vto 23-12-2025.pdf" xr:uid="{00000000-0004-0000-0000-000030000000}"/>
    <hyperlink ref="AQ29" r:id="rId50" display="01) RRHH\ALMONACID NORIEGA DANIEL\Cert_Inicial_ESLINGADOR Y SEÑALERO_NASER_25_10 (1).pdf" xr:uid="{00000000-0004-0000-0000-000031000000}"/>
    <hyperlink ref="AH39" r:id="rId51" display="01) RRHH\CASAMAJOU JONATAN\Licencia de Conducir Vto 01-03-2026.pdf" xr:uid="{00000000-0004-0000-0000-000032000000}"/>
    <hyperlink ref="AJ39" r:id="rId52" display="01) RRHH\CASAMAJOU JONATAN\MD Vto 19-01-2026.pdf" xr:uid="{00000000-0004-0000-0000-000033000000}"/>
    <hyperlink ref="AN34" r:id="rId53" display="01) RRHH\BERROCAL ALAN ALBERTO\Linti Psicofisico Vto 04-05-2025.pdf" xr:uid="{00000000-0004-0000-0000-000034000000}"/>
    <hyperlink ref="AN20" r:id="rId54" display="01) RRHH\PEREZ GUSTAVO FLORENCIO\linti.pdf" xr:uid="{00000000-0004-0000-0000-000035000000}"/>
    <hyperlink ref="AN23" r:id="rId55" display="01) RRHH\LUCERO, WALTER RICARDO\Linti Psicofisico Vto 19-08-2026.pdf" xr:uid="{00000000-0004-0000-0000-000036000000}"/>
    <hyperlink ref="AN29" r:id="rId56" display="01) RRHH\ALMONACID NORIEGA DANIEL\Linti Psicofisico Vto 24-7-26.pdf" xr:uid="{00000000-0004-0000-0000-000037000000}"/>
    <hyperlink ref="AN30" r:id="rId57" display="01) RRHH\DE CROCE MIGUEL ANGEL\Linti.pdf" xr:uid="{00000000-0004-0000-0000-000038000000}"/>
    <hyperlink ref="AN32" r:id="rId58" display="01) RRHH\LAGOS RODRIGO\linti.pdf" xr:uid="{00000000-0004-0000-0000-000039000000}"/>
    <hyperlink ref="AN35" r:id="rId59" display="01) RRHH\CASTRO ALEJANDRO JOSE\Linti.pdf" xr:uid="{00000000-0004-0000-0000-00003A000000}"/>
    <hyperlink ref="AN36" r:id="rId60" display="01) RRHH\MERCADO MATIAS SEBASTIAN\Linti.pdf" xr:uid="{00000000-0004-0000-0000-00003B000000}"/>
    <hyperlink ref="AJ35" r:id="rId61" display="01) RRHH\CASTRO ALEJANDRO JOSE\MD Vto 27-09-2025.pdf" xr:uid="{00000000-0004-0000-0000-00003C000000}"/>
    <hyperlink ref="AJ36" r:id="rId62" display="01) RRHH\MERCADO MATIAS SEBASTIAN\MD Vto 27-09-2025.pdf" xr:uid="{00000000-0004-0000-0000-00003D000000}"/>
    <hyperlink ref="AM33" r:id="rId63" display="01) RRHH\ECHANIZ MARCO DANIEL\Linti cargas generales  Vto 15-7-25.pdf" xr:uid="{00000000-0004-0000-0000-00003E000000}"/>
    <hyperlink ref="AN33" r:id="rId64" display="01) RRHH\ECHANIZ MARCO DANIEL\linti.jpg" xr:uid="{00000000-0004-0000-0000-00003F000000}"/>
    <hyperlink ref="AH36" r:id="rId65" display="01) RRHH\MERCADO MATIAS SEBASTIAN\Lic Conducir VTO 12-06-2025.pdf" xr:uid="{00000000-0004-0000-0000-000040000000}"/>
    <hyperlink ref="AH42" r:id="rId66" display="01) RRHH\DOMINGUEZ MOLINA FACUNDO MAXIMILIANO\Lic.Conducir Vto 05-12-2028.pdf" xr:uid="{00000000-0004-0000-0000-000041000000}"/>
    <hyperlink ref="AJ42" r:id="rId67" display="01) RRHH\DOMINGUEZ MOLINA FACUNDO MAXIMILIANO\MD Vto 04-06-2026.pdf" xr:uid="{00000000-0004-0000-0000-000042000000}"/>
    <hyperlink ref="AH35" r:id="rId68" display="01) RRHH\CASTRO ALEJANDRO JOSE\LIC DE CONDUCIR VTO 23-07-2026.pdf" xr:uid="{00000000-0004-0000-0000-000043000000}"/>
    <hyperlink ref="AO35" r:id="rId69" display="01) RRHH\CASTRO ALEJANDRO JOSE\Linti Mercancias Peligrosas Vto 03-08-25.pdf" xr:uid="{00000000-0004-0000-0000-000044000000}"/>
    <hyperlink ref="AO36" r:id="rId70" display="01) RRHH\MERCADO MATIAS SEBASTIAN\Linti Mercancias peligrosas Vto 31-10-2024.pdf" xr:uid="{00000000-0004-0000-0000-000045000000}"/>
    <hyperlink ref="AT20" r:id="rId71" display="01) RRHH\PEREZ GUSTAVO FLORENCIO\Curso de torque vto 20-8-2025.pdf" xr:uid="{00000000-0004-0000-0000-000046000000}"/>
    <hyperlink ref="AT25" r:id="rId72" display="01) RRHH\VIDELA, OMAR DAVID\Curso de torque vto 20-8-2025.pdf" xr:uid="{00000000-0004-0000-0000-000047000000}"/>
    <hyperlink ref="AT26" r:id="rId73" display="01) RRHH\GRIER FACUNDO\Curso de torque vto 20-8-2025.pdf" xr:uid="{00000000-0004-0000-0000-000048000000}"/>
    <hyperlink ref="AT29" r:id="rId74" display="01) RRHH\ALMONACID NORIEGA DANIEL\Curso de torque vto 20-8-2025.pdf" xr:uid="{00000000-0004-0000-0000-000049000000}"/>
    <hyperlink ref="AT30" r:id="rId75" display="01) RRHH\DE CROCE MIGUEL ANGEL\Curso de torque vto 20-8-2025.pdf" xr:uid="{00000000-0004-0000-0000-00004A000000}"/>
    <hyperlink ref="AT32" r:id="rId76" display="01) RRHH\LAGOS RODRIGO\Curso de torque vto 20-8-2025.pdf" xr:uid="{00000000-0004-0000-0000-00004B000000}"/>
    <hyperlink ref="AT39" r:id="rId77" display="01) RRHH\CASAMAJOU JONATAN\Curso de torque vto 20-8-2025.pdf" xr:uid="{00000000-0004-0000-0000-00004C000000}"/>
    <hyperlink ref="AP26" r:id="rId78" display="01) RRHH\GRIER FACUNDO\Certificado Well Control.pdf" xr:uid="{00000000-0004-0000-0000-00004D000000}"/>
    <hyperlink ref="AP12" r:id="rId79" display="01) RRHH\ESPECHE DIEGO\ESPECHE MIRANDA, DIEGO SEBASTIAN Well Control.pdf" xr:uid="{00000000-0004-0000-0000-00004E000000}"/>
    <hyperlink ref="AP17" r:id="rId80" display="01) RRHH\MEDEL, Sergio\MEDEL, SERGIO EMILIO well Control.pdf" xr:uid="{00000000-0004-0000-0000-00004F000000}"/>
    <hyperlink ref="AT17" r:id="rId81" display="01) RRHH\MEDEL, Sergio\Certificado Curso de Torque.pdf" xr:uid="{00000000-0004-0000-0000-000050000000}"/>
    <hyperlink ref="AH8" r:id="rId82" display="01) RRHH\PIZARRO, Sigifredo\lic. Na. de conducir VTO 08-02-2029.pdf" xr:uid="{00000000-0004-0000-0000-000051000000}"/>
    <hyperlink ref="AJ43" r:id="rId83" display="01) RRHH\BORQUEZ LUCAS JAVIER\MD Vto 03-07-2026.pdf" xr:uid="{00000000-0004-0000-0000-000052000000}"/>
    <hyperlink ref="AN43" r:id="rId84" display="01) RRHH\BORQUEZ LUCAS JAVIER\LINTI.pdf" xr:uid="{00000000-0004-0000-0000-000053000000}"/>
    <hyperlink ref="AP15" r:id="rId85" display="01) RRHH\BELIZON JUAN ANDRES\cursos\BELIZON, JUAN ANDRES Well Control.pdf" xr:uid="{00000000-0004-0000-0000-000054000000}"/>
    <hyperlink ref="AP45" r:id="rId86" display="01) RRHH\BERMAR CARLOS ALBERTO\cursos\CARLOS BERMAR.pdf" xr:uid="{00000000-0004-0000-0000-000055000000}"/>
    <hyperlink ref="AH53" r:id="rId87" display="01) RRHH\MOLINA LUCAS OMAR\Licencia de conducir Vto 6-9-26.pdf" xr:uid="{00000000-0004-0000-0000-000056000000}"/>
    <hyperlink ref="AJ53" r:id="rId88" display="01) RRHH\MOLINA LUCAS OMAR\MD Flota Liviana Vto 19-06-2026.pdf" xr:uid="{00000000-0004-0000-0000-000057000000}"/>
    <hyperlink ref="AM53" r:id="rId89" display="01) RRHH\MOLINA LUCAS OMAR\Linti Cargas grales Vto 26-06-2025.pdf" xr:uid="{00000000-0004-0000-0000-000058000000}"/>
    <hyperlink ref="AN53" r:id="rId90" display="01) RRHH\MOLINA LUCAS OMAR\Linti Psicofisico Vto 12-05-2025.pdf" xr:uid="{00000000-0004-0000-0000-000059000000}"/>
    <hyperlink ref="AO53" r:id="rId91" display="01) RRHH\MOLINA LUCAS OMAR\Linti Mercancias peligrosas Vto 01-03-2025.pdf" xr:uid="{00000000-0004-0000-0000-00005A000000}"/>
    <hyperlink ref="AO54" r:id="rId92" display="01) RRHH\MOLINA LUCAS OMAR\Linti Mercancias peligrosas Vto 01-03-2025.pdf" xr:uid="{00000000-0004-0000-0000-00005B000000}"/>
    <hyperlink ref="AW53" r:id="rId93" display="01) RRHH\MOLINA LUCAS OMAR\Preocupacional Vto 12-6-25.pdf" xr:uid="{00000000-0004-0000-0000-00005C000000}"/>
    <hyperlink ref="AW31" r:id="rId94" display="01) RRHH\ARAVENA GABRIELA\Periodico Vto 7-12-2024.pdf" xr:uid="{00000000-0004-0000-0000-00005D000000}"/>
    <hyperlink ref="AW28" r:id="rId95" display="01) RRHH\SAMPIETRO VANINA SOLEDAD\Periodico Vto 7-12-2024.pdf" xr:uid="{00000000-0004-0000-0000-00005E000000}"/>
    <hyperlink ref="AW18" r:id="rId96" display="01) RRHH\JARA CARINA NOEMI\Periodico Vto 6-12-2024.pdf" xr:uid="{00000000-0004-0000-0000-00005F000000}"/>
    <hyperlink ref="AW11" r:id="rId97" display="01) RRHH\CHITADINO, Elvira\Periodico Vto 6-12-2024.pdf" xr:uid="{00000000-0004-0000-0000-000060000000}"/>
    <hyperlink ref="AW37" r:id="rId98" display="01) RRHH\CASTILLO IVON VANESA\Periodico Vto 11-12-24.pdf" xr:uid="{00000000-0004-0000-0000-000061000000}"/>
    <hyperlink ref="AW25" r:id="rId99" display="01) RRHH\VIDELA, OMAR DAVID\Ex. Periodico VTO 30-09-2025.pdf" xr:uid="{00000000-0004-0000-0000-000062000000}"/>
    <hyperlink ref="AW34" r:id="rId100" display="01) RRHH\BERROCAL ALAN ALBERTO\Periodico Berrocal VTO 22-07-2025.pdf" xr:uid="{00000000-0004-0000-0000-000063000000}"/>
    <hyperlink ref="AW43" r:id="rId101" display="01) RRHH\BORQUEZ LUCAS JAVIER\Preocupacional vto 24-6-24.pdf" xr:uid="{00000000-0004-0000-0000-000064000000}"/>
    <hyperlink ref="AW42" r:id="rId102" display="01) RRHH\DOMINGUEZ MOLINA FACUNDO MAXIMILIANO\Ex periodico VTo 11-04-2026.pdf" xr:uid="{00000000-0004-0000-0000-000065000000}"/>
    <hyperlink ref="AW39" r:id="rId103" display="01) RRHH\CASAMAJOU JONATAN\Preocupacional Casamajou VTO 10-01-2025.pdf" xr:uid="{00000000-0004-0000-0000-000066000000}"/>
    <hyperlink ref="AW36" r:id="rId104" display="01) RRHH\MERCADO MATIAS SEBASTIAN\Ex. Periodico Vto 22-08-2025.pdf" xr:uid="{00000000-0004-0000-0000-000067000000}"/>
    <hyperlink ref="AW35" r:id="rId105" display="01) RRHH\CASTRO ALEJANDRO JOSE\Ex. periodico Vto 19-8-25.pdf" xr:uid="{00000000-0004-0000-0000-000068000000}"/>
    <hyperlink ref="AW21" r:id="rId106" display="01) RRHH\COSTALLAT ARIEL\Periodico Costallat VTO 22-10-2025.pdf" xr:uid="{00000000-0004-0000-0000-000069000000}"/>
    <hyperlink ref="AW33" r:id="rId107" display="01) RRHH\ECHANIZ MARCO DANIEL\Ex. Periodico VTO 17-01-2025.pdf" xr:uid="{00000000-0004-0000-0000-00006A000000}"/>
    <hyperlink ref="AW32" r:id="rId108" display="01) RRHH\LAGOS RODRIGO\Periodico Lagos VTO 05-08-2025.pdf" xr:uid="{00000000-0004-0000-0000-00006B000000}"/>
    <hyperlink ref="AW26" r:id="rId109" display="01) RRHH\GRIER FACUNDO\ex periodico VTO 21-08-2025.pdf" xr:uid="{00000000-0004-0000-0000-00006C000000}"/>
    <hyperlink ref="AW30" r:id="rId110" display="01) RRHH\DE CROCE MIGUEL ANGEL\Ex. Periodico VTO 16-01-2025.pdf" xr:uid="{00000000-0004-0000-0000-00006D000000}"/>
    <hyperlink ref="AW17" r:id="rId111" display="01) RRHH\MEDEL, Sergio\periodico Vto 07-03-2025.pdf" xr:uid="{00000000-0004-0000-0000-00006E000000}"/>
    <hyperlink ref="AW12" r:id="rId112" display="01) RRHH\ESPECHE DIEGO\Periodico Espeche vto 0-03-2025.pdf" xr:uid="{00000000-0004-0000-0000-00006F000000}"/>
    <hyperlink ref="AW22" r:id="rId113" display="01) RRHH\VECE,IGNACIO MARTIN\Ex. Periodico Vto 14-04-2026.pdf" xr:uid="{00000000-0004-0000-0000-000070000000}"/>
    <hyperlink ref="AW16" r:id="rId114" display="01) RRHH\MORALES DIEGO CESAR\Ex. Periodico Vto 15-01-2026.pdf" xr:uid="{00000000-0004-0000-0000-000071000000}"/>
    <hyperlink ref="AW29" r:id="rId115" display="01) RRHH\ALMONACID NORIEGA DANIEL\Periodico VTO 23-07-2025.pdf" xr:uid="{00000000-0004-0000-0000-000072000000}"/>
    <hyperlink ref="AW15" r:id="rId116" display="01) RRHH\BELIZON JUAN ANDRES\Periodico Belizon vto 30-01-2025.pdf" xr:uid="{00000000-0004-0000-0000-000073000000}"/>
    <hyperlink ref="AW20" r:id="rId117" display="01) RRHH\PEREZ GUSTAVO FLORENCIO\Ex. periodico Perez Vto 11-12-2024.pdf" xr:uid="{00000000-0004-0000-0000-000074000000}"/>
    <hyperlink ref="AW19" r:id="rId118" display="01) RRHH\PERALTA JAVIER\Ex Medico Vto 05-08-2025.pdf" xr:uid="{00000000-0004-0000-0000-000075000000}"/>
    <hyperlink ref="AW9" r:id="rId119" display="01) RRHH\BASOALTO, Juan Manuel\Periodico Basoalto VTO 22-10-2025.pdf" xr:uid="{00000000-0004-0000-0000-000076000000}"/>
    <hyperlink ref="AW14" r:id="rId120" display="01) RRHH\DOMINGUEZ, Roque Mariano\Periodico Dominguez Vto 01-02-2025.pdf" xr:uid="{00000000-0004-0000-0000-000077000000}"/>
    <hyperlink ref="AW23" r:id="rId121" display="01) RRHH\LUCERO, WALTER RICARDO\Periodico Lucero Vto 01-02-2025.pdf" xr:uid="{00000000-0004-0000-0000-000078000000}"/>
    <hyperlink ref="AW13" r:id="rId122" display="01) RRHH\SALASSA, Gerardo\Periodico Salassa Vto 02-02-2025.pdf" xr:uid="{00000000-0004-0000-0000-000079000000}"/>
    <hyperlink ref="AW24" r:id="rId123" display="01) RRHH\CUÑELAO NOELIA GISELL\Periodico Vto 7-12-2024.pdf" xr:uid="{00000000-0004-0000-0000-00007A000000}"/>
    <hyperlink ref="P14" r:id="rId124" xr:uid="{00000000-0004-0000-0000-00007B000000}"/>
    <hyperlink ref="P13" r:id="rId125" xr:uid="{00000000-0004-0000-0000-00007C000000}"/>
    <hyperlink ref="P17" r:id="rId126" xr:uid="{00000000-0004-0000-0000-00007D000000}"/>
    <hyperlink ref="P15" r:id="rId127" xr:uid="{00000000-0004-0000-0000-00007E000000}"/>
    <hyperlink ref="P16" r:id="rId128" xr:uid="{00000000-0004-0000-0000-00007F000000}"/>
    <hyperlink ref="P12" r:id="rId129" xr:uid="{00000000-0004-0000-0000-000080000000}"/>
    <hyperlink ref="P19" r:id="rId130" xr:uid="{00000000-0004-0000-0000-000081000000}"/>
    <hyperlink ref="P21" r:id="rId131" xr:uid="{00000000-0004-0000-0000-000082000000}"/>
    <hyperlink ref="P25" r:id="rId132" xr:uid="{00000000-0004-0000-0000-000083000000}"/>
    <hyperlink ref="P26" r:id="rId133" xr:uid="{00000000-0004-0000-0000-000084000000}"/>
    <hyperlink ref="P20" r:id="rId134" xr:uid="{00000000-0004-0000-0000-000085000000}"/>
    <hyperlink ref="P22" r:id="rId135" xr:uid="{00000000-0004-0000-0000-000086000000}"/>
    <hyperlink ref="P23" r:id="rId136" xr:uid="{00000000-0004-0000-0000-000087000000}"/>
    <hyperlink ref="P24" r:id="rId137" xr:uid="{00000000-0004-0000-0000-000088000000}"/>
    <hyperlink ref="P29" r:id="rId138" xr:uid="{00000000-0004-0000-0000-000089000000}"/>
    <hyperlink ref="Q9" r:id="rId139" xr:uid="{00000000-0004-0000-0000-00008A000000}"/>
    <hyperlink ref="Q10" r:id="rId140" xr:uid="{00000000-0004-0000-0000-00008B000000}"/>
    <hyperlink ref="Q12" r:id="rId141" xr:uid="{00000000-0004-0000-0000-00008C000000}"/>
    <hyperlink ref="Q13" r:id="rId142" xr:uid="{00000000-0004-0000-0000-00008D000000}"/>
    <hyperlink ref="Q14" r:id="rId143" xr:uid="{00000000-0004-0000-0000-00008E000000}"/>
    <hyperlink ref="Q15" r:id="rId144" xr:uid="{00000000-0004-0000-0000-00008F000000}"/>
    <hyperlink ref="Q16" r:id="rId145" xr:uid="{00000000-0004-0000-0000-000090000000}"/>
    <hyperlink ref="Q17" r:id="rId146" xr:uid="{00000000-0004-0000-0000-000091000000}"/>
    <hyperlink ref="Q18" r:id="rId147" xr:uid="{00000000-0004-0000-0000-000092000000}"/>
    <hyperlink ref="Q19" r:id="rId148" xr:uid="{00000000-0004-0000-0000-000093000000}"/>
    <hyperlink ref="Q20" r:id="rId149" xr:uid="{00000000-0004-0000-0000-000094000000}"/>
    <hyperlink ref="Q22" r:id="rId150" xr:uid="{00000000-0004-0000-0000-000095000000}"/>
    <hyperlink ref="Q23" r:id="rId151" xr:uid="{00000000-0004-0000-0000-000096000000}"/>
    <hyperlink ref="Q24" r:id="rId152" xr:uid="{00000000-0004-0000-0000-000097000000}"/>
    <hyperlink ref="Q25" r:id="rId153" xr:uid="{00000000-0004-0000-0000-000098000000}"/>
    <hyperlink ref="Q26" r:id="rId154" xr:uid="{00000000-0004-0000-0000-000099000000}"/>
    <hyperlink ref="Q29" r:id="rId155" xr:uid="{00000000-0004-0000-0000-00009A000000}"/>
    <hyperlink ref="Q30" r:id="rId156" xr:uid="{00000000-0004-0000-0000-00009B000000}"/>
    <hyperlink ref="Q32" r:id="rId157" xr:uid="{00000000-0004-0000-0000-00009C000000}"/>
    <hyperlink ref="Q33" r:id="rId158" xr:uid="{00000000-0004-0000-0000-00009D000000}"/>
    <hyperlink ref="Q34" r:id="rId159" xr:uid="{00000000-0004-0000-0000-00009E000000}"/>
    <hyperlink ref="Q35" r:id="rId160" xr:uid="{00000000-0004-0000-0000-00009F000000}"/>
    <hyperlink ref="Q36" r:id="rId161" xr:uid="{00000000-0004-0000-0000-0000A0000000}"/>
    <hyperlink ref="Q39" r:id="rId162" xr:uid="{00000000-0004-0000-0000-0000A1000000}"/>
    <hyperlink ref="Q42" r:id="rId163" xr:uid="{00000000-0004-0000-0000-0000A2000000}"/>
    <hyperlink ref="Q43" r:id="rId164" xr:uid="{00000000-0004-0000-0000-0000A3000000}"/>
    <hyperlink ref="Q21" r:id="rId165" xr:uid="{00000000-0004-0000-0000-0000A4000000}"/>
    <hyperlink ref="Q28" r:id="rId166" xr:uid="{00000000-0004-0000-0000-0000A5000000}"/>
    <hyperlink ref="Q46" r:id="rId167" xr:uid="{00000000-0004-0000-0000-0000A6000000}"/>
    <hyperlink ref="Q8" r:id="rId168" xr:uid="{00000000-0004-0000-0000-0000A7000000}"/>
    <hyperlink ref="Q45" r:id="rId169" xr:uid="{00000000-0004-0000-0000-0000A8000000}"/>
  </hyperlinks>
  <pageMargins left="0.7" right="0.7" top="0.75" bottom="0.75" header="0.3" footer="0.3"/>
  <pageSetup paperSize="9" orientation="portrait" horizontalDpi="0" verticalDpi="0" r:id="rId170"/>
  <ignoredErrors>
    <ignoredError sqref="J34 J9 J15:J16 J18 J20" numberStoredAsText="1"/>
    <ignoredError sqref="Y30 AX19" formula="1"/>
  </ignoredErrors>
  <drawing r:id="rId171"/>
  <legacyDrawing r:id="rId172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 xr:uid="{00000000-0002-0000-0000-000000000000}">
          <x14:formula1>
            <xm:f>DATOS!$A$2:$A$4</xm:f>
          </x14:formula1>
          <xm:sqref>F8:F54</xm:sqref>
        </x14:dataValidation>
        <x14:dataValidation type="list" allowBlank="1" showInputMessage="1" showErrorMessage="1" xr:uid="{00000000-0002-0000-0000-000001000000}">
          <x14:formula1>
            <xm:f>DATOS!$A$7:$A$25</xm:f>
          </x14:formula1>
          <xm:sqref>G8:G54</xm:sqref>
        </x14:dataValidation>
        <x14:dataValidation type="list" allowBlank="1" showInputMessage="1" showErrorMessage="1" xr:uid="{00000000-0002-0000-0000-000002000000}">
          <x14:formula1>
            <xm:f>DATOS!$D$1:$D$13</xm:f>
          </x14:formula1>
          <xm:sqref>M8:M54 AY8:AY54</xm:sqref>
        </x14:dataValidation>
        <x14:dataValidation type="list" allowBlank="1" showInputMessage="1" showErrorMessage="1" xr:uid="{00000000-0002-0000-0000-000003000000}">
          <x14:formula1>
            <xm:f>DATOS!$E$13:$E$16</xm:f>
          </x14:formula1>
          <xm:sqref>L8:L54</xm:sqref>
        </x14:dataValidation>
        <x14:dataValidation type="list" allowBlank="1" showInputMessage="1" showErrorMessage="1" xr:uid="{00000000-0002-0000-0000-000004000000}">
          <x14:formula1>
            <xm:f>DATOS!$E$25:$E$29</xm:f>
          </x14:formula1>
          <xm:sqref>AV8:AV54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17"/>
  <sheetViews>
    <sheetView workbookViewId="0">
      <selection activeCell="A15" sqref="A15:XFD15"/>
    </sheetView>
  </sheetViews>
  <sheetFormatPr baseColWidth="10" defaultRowHeight="15.5" x14ac:dyDescent="0.35"/>
  <cols>
    <col min="3" max="3" width="29" customWidth="1"/>
  </cols>
  <sheetData>
    <row r="1" spans="1:46" ht="16" thickBot="1" x14ac:dyDescent="0.4">
      <c r="A1" s="504" t="s">
        <v>93</v>
      </c>
      <c r="B1" s="505" t="s">
        <v>10</v>
      </c>
      <c r="C1" s="502" t="s">
        <v>6</v>
      </c>
      <c r="D1" s="502" t="s">
        <v>0</v>
      </c>
      <c r="E1" s="502" t="s">
        <v>103</v>
      </c>
      <c r="F1" s="502" t="s">
        <v>112</v>
      </c>
      <c r="G1" s="502" t="s">
        <v>192</v>
      </c>
      <c r="H1" s="502" t="s">
        <v>185</v>
      </c>
      <c r="I1" s="502" t="s">
        <v>176</v>
      </c>
      <c r="J1" s="502" t="s">
        <v>186</v>
      </c>
      <c r="K1" s="502" t="s">
        <v>8</v>
      </c>
      <c r="L1" s="502" t="s">
        <v>1</v>
      </c>
      <c r="M1" s="502" t="s">
        <v>177</v>
      </c>
      <c r="N1" s="502" t="s">
        <v>178</v>
      </c>
      <c r="O1" s="502" t="s">
        <v>191</v>
      </c>
      <c r="P1" s="502" t="s">
        <v>190</v>
      </c>
      <c r="Q1" s="502" t="s">
        <v>179</v>
      </c>
      <c r="R1" s="502" t="s">
        <v>180</v>
      </c>
      <c r="S1" s="502" t="s">
        <v>181</v>
      </c>
      <c r="T1" s="502" t="s">
        <v>182</v>
      </c>
      <c r="U1" s="502"/>
      <c r="V1" s="502"/>
      <c r="W1" s="502" t="s">
        <v>22</v>
      </c>
      <c r="X1" s="502" t="s">
        <v>23</v>
      </c>
      <c r="Y1" s="502" t="s">
        <v>9</v>
      </c>
    </row>
    <row r="2" spans="1:46" x14ac:dyDescent="0.35">
      <c r="A2" s="504"/>
      <c r="B2" s="506"/>
      <c r="C2" s="503"/>
      <c r="D2" s="503"/>
      <c r="E2" s="503"/>
      <c r="F2" s="503"/>
      <c r="G2" s="503"/>
      <c r="H2" s="503"/>
      <c r="I2" s="503"/>
      <c r="J2" s="503"/>
      <c r="K2" s="503"/>
      <c r="L2" s="503"/>
      <c r="M2" s="503"/>
      <c r="N2" s="503"/>
      <c r="O2" s="503"/>
      <c r="P2" s="503"/>
      <c r="Q2" s="503"/>
      <c r="R2" s="503"/>
      <c r="S2" s="503"/>
      <c r="T2" s="353" t="s">
        <v>187</v>
      </c>
      <c r="U2" s="353" t="s">
        <v>188</v>
      </c>
      <c r="V2" s="353" t="s">
        <v>189</v>
      </c>
      <c r="W2" s="503"/>
      <c r="X2" s="503"/>
      <c r="Y2" s="503"/>
    </row>
    <row r="3" spans="1:46" s="12" customFormat="1" ht="15" customHeight="1" thickBot="1" x14ac:dyDescent="0.4">
      <c r="A3" s="247">
        <v>44</v>
      </c>
      <c r="B3" s="258">
        <v>276</v>
      </c>
      <c r="C3" s="324" t="s">
        <v>875</v>
      </c>
      <c r="D3" s="303">
        <v>37907094</v>
      </c>
      <c r="E3" s="324" t="s">
        <v>876</v>
      </c>
      <c r="F3" s="324" t="s">
        <v>668</v>
      </c>
      <c r="G3" s="301">
        <v>45467</v>
      </c>
      <c r="H3" s="247" t="e">
        <f>DATEDIF(G3,#REF!,"Y")</f>
        <v>#REF!</v>
      </c>
      <c r="I3" s="365" t="s">
        <v>852</v>
      </c>
      <c r="J3" s="247" t="s">
        <v>84</v>
      </c>
      <c r="K3" s="243" t="s">
        <v>24</v>
      </c>
      <c r="L3" s="247" t="s">
        <v>26</v>
      </c>
      <c r="M3" s="305" t="s">
        <v>618</v>
      </c>
      <c r="N3" s="305"/>
      <c r="O3" s="247">
        <v>8300</v>
      </c>
      <c r="P3" s="305"/>
      <c r="Q3" s="305"/>
      <c r="R3" s="322"/>
      <c r="S3" s="243"/>
      <c r="T3" s="305"/>
      <c r="U3" s="243"/>
      <c r="V3" s="251" t="e">
        <f>DATEDIF(G3,#REF!,"MD")</f>
        <v>#REF!</v>
      </c>
      <c r="W3" s="251" t="e">
        <f>DATEDIF(G3,#REF!,"YM")</f>
        <v>#REF!</v>
      </c>
      <c r="X3" s="251" t="e">
        <f>DATEDIF(G3,#REF!,"Y")</f>
        <v>#REF!</v>
      </c>
      <c r="Y3" s="305"/>
      <c r="Z3" s="305"/>
      <c r="AA3" s="305"/>
      <c r="AB3" s="305"/>
      <c r="AC3" s="247"/>
      <c r="AD3" s="264"/>
      <c r="AE3" s="345"/>
      <c r="AF3" s="264"/>
      <c r="AG3" s="345"/>
      <c r="AH3" s="264"/>
      <c r="AI3" s="305"/>
      <c r="AJ3" s="305"/>
      <c r="AK3" s="305"/>
      <c r="AL3" s="247"/>
      <c r="AM3" s="440"/>
      <c r="AN3" s="247"/>
      <c r="AO3" s="454"/>
      <c r="AP3" s="454"/>
      <c r="AQ3" s="454"/>
      <c r="AR3" s="359"/>
      <c r="AS3" s="262"/>
      <c r="AT3" s="346"/>
    </row>
    <row r="4" spans="1:46" s="12" customFormat="1" ht="15" customHeight="1" thickTop="1" x14ac:dyDescent="0.35">
      <c r="A4" s="247">
        <v>6</v>
      </c>
      <c r="B4" s="258">
        <v>92</v>
      </c>
      <c r="C4" s="255" t="s">
        <v>7</v>
      </c>
      <c r="D4" s="303">
        <v>27424671</v>
      </c>
      <c r="E4" s="259">
        <v>27274246710</v>
      </c>
      <c r="F4" s="259" t="s">
        <v>810</v>
      </c>
      <c r="G4" s="244">
        <v>41821</v>
      </c>
      <c r="H4" s="245" t="e">
        <f>DATEDIF(G4,#REF!,"Y")</f>
        <v>#REF!</v>
      </c>
      <c r="I4" s="246" t="s">
        <v>358</v>
      </c>
      <c r="J4" s="260" t="s">
        <v>207</v>
      </c>
      <c r="K4" s="248" t="s">
        <v>12</v>
      </c>
      <c r="L4" s="249" t="s">
        <v>239</v>
      </c>
      <c r="M4" s="250" t="s">
        <v>86</v>
      </c>
      <c r="N4" s="250" t="s">
        <v>233</v>
      </c>
      <c r="O4" s="249">
        <v>8324</v>
      </c>
      <c r="P4" s="250" t="s">
        <v>2</v>
      </c>
      <c r="Q4" s="250" t="s">
        <v>3</v>
      </c>
      <c r="R4" s="248">
        <v>29126</v>
      </c>
      <c r="S4" s="250" t="s">
        <v>323</v>
      </c>
      <c r="T4" s="243" t="s">
        <v>223</v>
      </c>
      <c r="U4" s="233" t="e">
        <f>DATEDIF(R4,#REF!,"Y")</f>
        <v>#REF!</v>
      </c>
      <c r="V4" s="251" t="e">
        <f>DATEDIF(G4,#REF!,"MD")</f>
        <v>#REF!</v>
      </c>
      <c r="W4" s="251" t="e">
        <f>DATEDIF(G4,#REF!,"YM")</f>
        <v>#REF!</v>
      </c>
      <c r="X4" s="251" t="e">
        <f>DATEDIF(G4,#REF!,"Y")</f>
        <v>#REF!</v>
      </c>
      <c r="Y4" s="250" t="s">
        <v>225</v>
      </c>
      <c r="Z4" s="250" t="s">
        <v>225</v>
      </c>
      <c r="AA4" s="250" t="s">
        <v>31</v>
      </c>
      <c r="AB4" s="250"/>
      <c r="AC4" s="253" t="s">
        <v>348</v>
      </c>
      <c r="AD4" s="376"/>
      <c r="AE4" s="253"/>
      <c r="AF4" s="263"/>
      <c r="AG4" s="253"/>
      <c r="AH4" s="249"/>
      <c r="AI4" s="254"/>
      <c r="AJ4" s="254"/>
      <c r="AK4" s="254"/>
      <c r="AL4" s="435"/>
      <c r="AM4" s="439"/>
      <c r="AN4" s="305"/>
      <c r="AO4" s="441"/>
      <c r="AP4" s="441"/>
      <c r="AQ4" s="360"/>
      <c r="AR4" s="256">
        <v>45266</v>
      </c>
      <c r="AS4" s="311">
        <f>AR4+365</f>
        <v>45631</v>
      </c>
    </row>
    <row r="5" spans="1:46" s="12" customFormat="1" ht="15" customHeight="1" x14ac:dyDescent="0.35">
      <c r="A5" s="247">
        <v>29</v>
      </c>
      <c r="B5" s="258">
        <v>245</v>
      </c>
      <c r="C5" s="324" t="s">
        <v>793</v>
      </c>
      <c r="D5" s="303">
        <v>27789845</v>
      </c>
      <c r="E5" s="324" t="s">
        <v>795</v>
      </c>
      <c r="F5" s="324" t="s">
        <v>668</v>
      </c>
      <c r="G5" s="301">
        <v>44936</v>
      </c>
      <c r="H5" s="247" t="e">
        <f>DATEDIF(G5,#REF!,"Y")</f>
        <v>#REF!</v>
      </c>
      <c r="I5" s="365" t="s">
        <v>666</v>
      </c>
      <c r="J5" s="247" t="s">
        <v>84</v>
      </c>
      <c r="K5" s="243" t="s">
        <v>24</v>
      </c>
      <c r="L5" s="247" t="s">
        <v>26</v>
      </c>
      <c r="M5" s="305" t="s">
        <v>864</v>
      </c>
      <c r="N5" s="305"/>
      <c r="O5" s="247">
        <v>8316</v>
      </c>
      <c r="P5" s="305" t="s">
        <v>4</v>
      </c>
      <c r="Q5" s="305"/>
      <c r="R5" s="322">
        <v>29317</v>
      </c>
      <c r="S5" s="243"/>
      <c r="T5" s="305"/>
      <c r="U5" s="243" t="e">
        <f>DATEDIF(R5,#REF!,"Y")</f>
        <v>#REF!</v>
      </c>
      <c r="V5" s="251" t="e">
        <f>DATEDIF(G5,#REF!,"MD")</f>
        <v>#REF!</v>
      </c>
      <c r="W5" s="251" t="e">
        <f>DATEDIF(G5,#REF!,"YM")</f>
        <v>#REF!</v>
      </c>
      <c r="X5" s="251" t="e">
        <f>DATEDIF(G5,#REF!,"Y")</f>
        <v>#REF!</v>
      </c>
      <c r="Y5" s="305" t="s">
        <v>24</v>
      </c>
      <c r="Z5" s="305" t="s">
        <v>24</v>
      </c>
      <c r="AA5" s="305" t="s">
        <v>216</v>
      </c>
      <c r="AB5" s="305"/>
      <c r="AC5" s="247"/>
      <c r="AD5" s="247"/>
      <c r="AE5" s="345"/>
      <c r="AF5" s="247"/>
      <c r="AG5" s="345"/>
      <c r="AH5" s="247"/>
      <c r="AI5" s="305"/>
      <c r="AJ5" s="305"/>
      <c r="AK5" s="305"/>
      <c r="AL5" s="247"/>
      <c r="AM5" s="440"/>
      <c r="AN5" s="305"/>
      <c r="AO5" s="441"/>
      <c r="AP5" s="441"/>
      <c r="AQ5" s="359"/>
      <c r="AR5" s="262"/>
      <c r="AS5" s="346"/>
    </row>
    <row r="6" spans="1:46" s="12" customFormat="1" ht="15" customHeight="1" x14ac:dyDescent="0.35">
      <c r="A6" s="247">
        <v>48</v>
      </c>
      <c r="B6" s="258">
        <v>279</v>
      </c>
      <c r="C6" s="324" t="s">
        <v>884</v>
      </c>
      <c r="D6" s="303">
        <v>40442786</v>
      </c>
      <c r="E6" s="324" t="s">
        <v>885</v>
      </c>
      <c r="F6" s="324" t="s">
        <v>668</v>
      </c>
      <c r="G6" s="301">
        <v>45505</v>
      </c>
      <c r="H6" s="247" t="e">
        <f>DATEDIF(G6,#REF!,"Y")</f>
        <v>#REF!</v>
      </c>
      <c r="I6" s="365" t="s">
        <v>666</v>
      </c>
      <c r="J6" s="247" t="s">
        <v>84</v>
      </c>
      <c r="K6" s="243" t="s">
        <v>24</v>
      </c>
      <c r="L6" s="247" t="s">
        <v>26</v>
      </c>
      <c r="M6" s="305" t="s">
        <v>618</v>
      </c>
      <c r="N6" s="305"/>
      <c r="O6" s="247">
        <v>8300</v>
      </c>
      <c r="P6" s="305"/>
      <c r="Q6" s="305"/>
      <c r="R6" s="322"/>
      <c r="S6" s="243"/>
      <c r="T6" s="305"/>
      <c r="U6" s="243"/>
      <c r="V6" s="251" t="e">
        <f>DATEDIF(G6,#REF!,"MD")</f>
        <v>#REF!</v>
      </c>
      <c r="W6" s="251" t="e">
        <f>DATEDIF(G6,#REF!,"YM")</f>
        <v>#REF!</v>
      </c>
      <c r="X6" s="251" t="e">
        <f>DATEDIF(G6,#REF!,"Y")</f>
        <v>#REF!</v>
      </c>
      <c r="Y6" s="305"/>
      <c r="Z6" s="305"/>
      <c r="AA6" s="305"/>
      <c r="AB6" s="305"/>
      <c r="AC6" s="247"/>
      <c r="AD6" s="264"/>
      <c r="AE6" s="345"/>
      <c r="AF6" s="264"/>
      <c r="AG6" s="345"/>
      <c r="AH6" s="264"/>
      <c r="AI6" s="305"/>
      <c r="AJ6" s="305"/>
      <c r="AK6" s="305"/>
      <c r="AL6" s="247"/>
      <c r="AM6" s="440"/>
      <c r="AN6" s="247"/>
      <c r="AO6" s="454"/>
      <c r="AP6" s="454"/>
      <c r="AQ6" s="359"/>
      <c r="AR6" s="262"/>
      <c r="AS6" s="346"/>
    </row>
    <row r="7" spans="1:46" s="12" customFormat="1" ht="15" customHeight="1" x14ac:dyDescent="0.35">
      <c r="A7" s="247">
        <v>50</v>
      </c>
      <c r="B7" s="258">
        <v>281</v>
      </c>
      <c r="C7" s="324" t="s">
        <v>888</v>
      </c>
      <c r="D7" s="303">
        <v>35710052</v>
      </c>
      <c r="E7" s="324" t="s">
        <v>889</v>
      </c>
      <c r="F7" s="324" t="s">
        <v>668</v>
      </c>
      <c r="G7" s="301">
        <v>45542</v>
      </c>
      <c r="H7" s="247" t="e">
        <f>DATEDIF(G7,#REF!,"Y")</f>
        <v>#REF!</v>
      </c>
      <c r="I7" s="365" t="s">
        <v>666</v>
      </c>
      <c r="J7" s="247" t="s">
        <v>84</v>
      </c>
      <c r="K7" s="243" t="s">
        <v>24</v>
      </c>
      <c r="L7" s="247" t="s">
        <v>26</v>
      </c>
      <c r="M7" s="305" t="s">
        <v>754</v>
      </c>
      <c r="N7" s="305"/>
      <c r="O7" s="247">
        <v>8316</v>
      </c>
      <c r="P7" s="305"/>
      <c r="Q7" s="305"/>
      <c r="R7" s="322"/>
      <c r="S7" s="243"/>
      <c r="T7" s="305"/>
      <c r="U7" s="243"/>
      <c r="V7" s="251" t="e">
        <f>DATEDIF(G7,#REF!,"MD")</f>
        <v>#REF!</v>
      </c>
      <c r="W7" s="251" t="e">
        <f>DATEDIF(G7,#REF!,"YM")</f>
        <v>#REF!</v>
      </c>
      <c r="X7" s="251" t="e">
        <f>DATEDIF(G7,#REF!,"Y")</f>
        <v>#REF!</v>
      </c>
      <c r="Y7" s="305"/>
      <c r="Z7" s="305"/>
      <c r="AA7" s="305"/>
      <c r="AB7" s="305"/>
      <c r="AC7" s="247"/>
      <c r="AD7" s="264"/>
      <c r="AE7" s="345"/>
      <c r="AF7" s="264"/>
      <c r="AG7" s="345"/>
      <c r="AH7" s="264"/>
      <c r="AI7" s="305"/>
      <c r="AJ7" s="305"/>
      <c r="AK7" s="305"/>
      <c r="AL7" s="247"/>
      <c r="AM7" s="440"/>
      <c r="AN7" s="247"/>
      <c r="AO7" s="454"/>
      <c r="AP7" s="454"/>
      <c r="AQ7" s="359"/>
      <c r="AR7" s="262"/>
      <c r="AS7" s="346"/>
    </row>
    <row r="8" spans="1:46" s="12" customFormat="1" ht="15" customHeight="1" x14ac:dyDescent="0.35">
      <c r="A8" s="247">
        <v>51</v>
      </c>
      <c r="B8" s="258">
        <v>282</v>
      </c>
      <c r="C8" s="324" t="s">
        <v>891</v>
      </c>
      <c r="D8" s="303">
        <v>36075168</v>
      </c>
      <c r="E8" s="324" t="s">
        <v>892</v>
      </c>
      <c r="F8" s="324" t="s">
        <v>668</v>
      </c>
      <c r="G8" s="301">
        <v>45579</v>
      </c>
      <c r="H8" s="247" t="e">
        <f>DATEDIF(G8,#REF!,"Y")</f>
        <v>#REF!</v>
      </c>
      <c r="I8" s="365" t="s">
        <v>666</v>
      </c>
      <c r="J8" s="247" t="s">
        <v>84</v>
      </c>
      <c r="K8" s="243" t="s">
        <v>24</v>
      </c>
      <c r="L8" s="247" t="s">
        <v>26</v>
      </c>
      <c r="M8" s="305" t="s">
        <v>618</v>
      </c>
      <c r="N8" s="305"/>
      <c r="O8" s="247">
        <v>8316</v>
      </c>
      <c r="P8" s="305"/>
      <c r="Q8" s="305"/>
      <c r="R8" s="322"/>
      <c r="S8" s="243"/>
      <c r="T8" s="305"/>
      <c r="U8" s="243"/>
      <c r="V8" s="251" t="e">
        <f>DATEDIF(G8,#REF!,"MD")</f>
        <v>#REF!</v>
      </c>
      <c r="W8" s="251" t="e">
        <f>DATEDIF(G8,#REF!,"YM")</f>
        <v>#REF!</v>
      </c>
      <c r="X8" s="251" t="e">
        <f>DATEDIF(G8,#REF!,"Y")</f>
        <v>#REF!</v>
      </c>
      <c r="Y8" s="305"/>
      <c r="Z8" s="305"/>
      <c r="AA8" s="305"/>
      <c r="AB8" s="305"/>
      <c r="AC8" s="247"/>
      <c r="AD8" s="264"/>
      <c r="AE8" s="345"/>
      <c r="AF8" s="264"/>
      <c r="AG8" s="345"/>
      <c r="AH8" s="264"/>
      <c r="AI8" s="305"/>
      <c r="AJ8" s="305"/>
      <c r="AK8" s="305"/>
      <c r="AL8" s="247"/>
      <c r="AM8" s="440"/>
      <c r="AN8" s="247"/>
      <c r="AO8" s="454"/>
      <c r="AP8" s="454"/>
      <c r="AQ8" s="359"/>
      <c r="AR8" s="262"/>
      <c r="AS8" s="346"/>
    </row>
    <row r="9" spans="1:46" s="12" customFormat="1" ht="15" customHeight="1" x14ac:dyDescent="0.35">
      <c r="A9" s="247">
        <v>40</v>
      </c>
      <c r="B9" s="258">
        <v>271</v>
      </c>
      <c r="C9" s="324" t="s">
        <v>862</v>
      </c>
      <c r="D9" s="303">
        <v>24794529</v>
      </c>
      <c r="E9" s="324" t="s">
        <v>863</v>
      </c>
      <c r="F9" s="324" t="s">
        <v>668</v>
      </c>
      <c r="G9" s="301">
        <v>45436</v>
      </c>
      <c r="H9" s="247" t="e">
        <f>DATEDIF(G9,#REF!,"Y")</f>
        <v>#REF!</v>
      </c>
      <c r="I9" s="365" t="s">
        <v>666</v>
      </c>
      <c r="J9" s="247" t="s">
        <v>84</v>
      </c>
      <c r="K9" s="243" t="s">
        <v>24</v>
      </c>
      <c r="L9" s="247" t="s">
        <v>26</v>
      </c>
      <c r="M9" s="305" t="s">
        <v>746</v>
      </c>
      <c r="N9" s="305"/>
      <c r="O9" s="247">
        <v>8300</v>
      </c>
      <c r="P9" s="305"/>
      <c r="Q9" s="305"/>
      <c r="R9" s="322"/>
      <c r="S9" s="243"/>
      <c r="T9" s="305"/>
      <c r="U9" s="243"/>
      <c r="V9" s="251" t="e">
        <f>DATEDIF(G9,#REF!,"MD")</f>
        <v>#REF!</v>
      </c>
      <c r="W9" s="251" t="e">
        <f>DATEDIF(G9,#REF!,"YM")</f>
        <v>#REF!</v>
      </c>
      <c r="X9" s="251" t="e">
        <f>DATEDIF(G9,#REF!,"Y")</f>
        <v>#REF!</v>
      </c>
      <c r="Y9" s="305"/>
      <c r="Z9" s="305"/>
      <c r="AA9" s="305"/>
      <c r="AB9" s="305"/>
      <c r="AC9" s="247"/>
      <c r="AD9" s="264"/>
      <c r="AE9" s="345"/>
      <c r="AF9" s="264"/>
      <c r="AG9" s="345"/>
      <c r="AH9" s="264"/>
      <c r="AI9" s="305"/>
      <c r="AJ9" s="305"/>
      <c r="AK9" s="305"/>
      <c r="AL9" s="247"/>
      <c r="AM9" s="440"/>
      <c r="AN9" s="247"/>
      <c r="AO9" s="454"/>
      <c r="AP9" s="454"/>
      <c r="AQ9" s="454"/>
      <c r="AR9" s="359"/>
      <c r="AS9" s="262"/>
      <c r="AT9" s="346"/>
    </row>
    <row r="10" spans="1:46" s="12" customFormat="1" ht="15" customHeight="1" x14ac:dyDescent="0.35">
      <c r="A10" s="247">
        <v>35</v>
      </c>
      <c r="B10" s="258">
        <v>264</v>
      </c>
      <c r="C10" s="324" t="s">
        <v>843</v>
      </c>
      <c r="D10" s="303">
        <v>34129358</v>
      </c>
      <c r="E10" s="324" t="s">
        <v>844</v>
      </c>
      <c r="F10" s="324" t="s">
        <v>668</v>
      </c>
      <c r="G10" s="301">
        <v>45338</v>
      </c>
      <c r="H10" s="247" t="e">
        <f>DATEDIF(G10,#REF!,"Y")</f>
        <v>#REF!</v>
      </c>
      <c r="I10" s="365" t="s">
        <v>666</v>
      </c>
      <c r="J10" s="247" t="s">
        <v>84</v>
      </c>
      <c r="K10" s="243" t="s">
        <v>24</v>
      </c>
      <c r="L10" s="247" t="s">
        <v>126</v>
      </c>
      <c r="M10" s="305" t="s">
        <v>865</v>
      </c>
      <c r="N10" s="305"/>
      <c r="O10" s="247">
        <v>8300</v>
      </c>
      <c r="P10" s="305" t="s">
        <v>5</v>
      </c>
      <c r="Q10" s="305" t="s">
        <v>5</v>
      </c>
      <c r="R10" s="322">
        <v>36097</v>
      </c>
      <c r="S10" s="243">
        <v>2994058657</v>
      </c>
      <c r="T10" s="305"/>
      <c r="U10" s="243" t="e">
        <f>DATEDIF(R10,#REF!,"Y")</f>
        <v>#REF!</v>
      </c>
      <c r="V10" s="251" t="e">
        <f>DATEDIF(G10,#REF!,"MD")</f>
        <v>#REF!</v>
      </c>
      <c r="W10" s="251" t="e">
        <f>DATEDIF(G10,#REF!,"YM")</f>
        <v>#REF!</v>
      </c>
      <c r="X10" s="251" t="e">
        <f>DATEDIF(G10,#REF!,"Y")</f>
        <v>#REF!</v>
      </c>
      <c r="Y10" s="305"/>
      <c r="Z10" s="305"/>
      <c r="AA10" s="305"/>
      <c r="AB10" s="305"/>
      <c r="AC10" s="247"/>
      <c r="AD10" s="264"/>
      <c r="AE10" s="345"/>
      <c r="AF10" s="264"/>
      <c r="AG10" s="345"/>
      <c r="AH10" s="264"/>
      <c r="AI10" s="305"/>
      <c r="AJ10" s="305"/>
      <c r="AK10" s="305"/>
      <c r="AL10" s="247"/>
      <c r="AM10" s="440"/>
      <c r="AN10" s="247"/>
      <c r="AO10" s="454"/>
      <c r="AP10" s="454"/>
      <c r="AQ10" s="454"/>
      <c r="AR10" s="359" t="s">
        <v>357</v>
      </c>
      <c r="AS10" s="262"/>
      <c r="AT10" s="346"/>
    </row>
    <row r="11" spans="1:46" s="12" customFormat="1" ht="15" customHeight="1" x14ac:dyDescent="0.35">
      <c r="A11" s="247">
        <v>38</v>
      </c>
      <c r="B11" s="258">
        <v>268</v>
      </c>
      <c r="C11" s="324" t="s">
        <v>855</v>
      </c>
      <c r="D11" s="303">
        <v>41620627</v>
      </c>
      <c r="E11" s="324" t="s">
        <v>859</v>
      </c>
      <c r="F11" s="324" t="s">
        <v>668</v>
      </c>
      <c r="G11" s="301">
        <v>45418</v>
      </c>
      <c r="H11" s="247" t="e">
        <f>DATEDIF(G11,#REF!,"Y")</f>
        <v>#REF!</v>
      </c>
      <c r="I11" s="365" t="s">
        <v>383</v>
      </c>
      <c r="J11" s="247" t="s">
        <v>84</v>
      </c>
      <c r="K11" s="243" t="s">
        <v>24</v>
      </c>
      <c r="L11" s="247" t="s">
        <v>26</v>
      </c>
      <c r="M11" s="243" t="s">
        <v>853</v>
      </c>
      <c r="N11" s="305"/>
      <c r="O11" s="247">
        <v>8300</v>
      </c>
      <c r="P11" s="305"/>
      <c r="Q11" s="305"/>
      <c r="R11" s="322">
        <v>32875</v>
      </c>
      <c r="S11" s="243"/>
      <c r="T11" s="305"/>
      <c r="U11" s="243" t="e">
        <f>DATEDIF(R11,#REF!,"Y")</f>
        <v>#REF!</v>
      </c>
      <c r="V11" s="251" t="e">
        <f>DATEDIF(G11,#REF!,"MD")</f>
        <v>#REF!</v>
      </c>
      <c r="W11" s="251" t="e">
        <f>DATEDIF(G11,#REF!,"YM")</f>
        <v>#REF!</v>
      </c>
      <c r="X11" s="251" t="e">
        <f>DATEDIF(G11,#REF!,"Y")</f>
        <v>#REF!</v>
      </c>
      <c r="Y11" s="305"/>
      <c r="Z11" s="305"/>
      <c r="AA11" s="305"/>
      <c r="AB11" s="305"/>
      <c r="AC11" s="247"/>
      <c r="AD11" s="264"/>
      <c r="AE11" s="345"/>
      <c r="AF11" s="264"/>
      <c r="AG11" s="345"/>
      <c r="AH11" s="264"/>
      <c r="AI11" s="305"/>
      <c r="AJ11" s="305"/>
      <c r="AK11" s="305"/>
      <c r="AL11" s="247"/>
      <c r="AM11" s="440"/>
      <c r="AN11" s="247"/>
      <c r="AO11" s="454"/>
      <c r="AP11" s="454"/>
      <c r="AQ11" s="454"/>
      <c r="AR11" s="359"/>
      <c r="AS11" s="262"/>
      <c r="AT11" s="346"/>
    </row>
    <row r="12" spans="1:46" s="12" customFormat="1" ht="15" customHeight="1" x14ac:dyDescent="0.35">
      <c r="A12" s="247">
        <v>35</v>
      </c>
      <c r="B12" s="258">
        <v>265</v>
      </c>
      <c r="C12" s="324" t="s">
        <v>847</v>
      </c>
      <c r="D12" s="303">
        <v>40294640</v>
      </c>
      <c r="E12" s="324" t="s">
        <v>848</v>
      </c>
      <c r="F12" s="324" t="s">
        <v>668</v>
      </c>
      <c r="G12" s="301">
        <v>45383</v>
      </c>
      <c r="H12" s="247" t="e">
        <f>DATEDIF(G12,#REF!,"Y")</f>
        <v>#REF!</v>
      </c>
      <c r="I12" s="365" t="s">
        <v>666</v>
      </c>
      <c r="J12" s="247" t="s">
        <v>84</v>
      </c>
      <c r="K12" s="243" t="s">
        <v>24</v>
      </c>
      <c r="L12" s="247" t="s">
        <v>26</v>
      </c>
      <c r="M12" s="305" t="s">
        <v>754</v>
      </c>
      <c r="N12" s="305"/>
      <c r="O12" s="247">
        <v>8300</v>
      </c>
      <c r="P12" s="305" t="s">
        <v>5</v>
      </c>
      <c r="Q12" s="305" t="s">
        <v>5</v>
      </c>
      <c r="R12" s="322">
        <v>35534</v>
      </c>
      <c r="S12" s="243"/>
      <c r="T12" s="305"/>
      <c r="U12" s="243" t="e">
        <f>DATEDIF(R12,#REF!,"Y")</f>
        <v>#REF!</v>
      </c>
      <c r="V12" s="251" t="e">
        <f>DATEDIF(G12,#REF!,"MD")</f>
        <v>#REF!</v>
      </c>
      <c r="W12" s="251" t="e">
        <f>DATEDIF(G12,#REF!,"YM")</f>
        <v>#REF!</v>
      </c>
      <c r="X12" s="251" t="e">
        <f>DATEDIF(G12,#REF!,"Y")</f>
        <v>#REF!</v>
      </c>
      <c r="Y12" s="305"/>
      <c r="Z12" s="305"/>
      <c r="AA12" s="305"/>
      <c r="AB12" s="305"/>
      <c r="AC12" s="247"/>
      <c r="AD12" s="264"/>
      <c r="AE12" s="345"/>
      <c r="AF12" s="264"/>
      <c r="AG12" s="345"/>
      <c r="AH12" s="264"/>
      <c r="AI12" s="305"/>
      <c r="AJ12" s="305"/>
      <c r="AK12" s="305"/>
      <c r="AL12" s="247"/>
      <c r="AM12" s="440"/>
      <c r="AN12" s="247"/>
      <c r="AO12" s="454"/>
      <c r="AP12" s="454"/>
      <c r="AQ12" s="454"/>
      <c r="AR12" s="359" t="s">
        <v>357</v>
      </c>
      <c r="AS12" s="262"/>
      <c r="AT12" s="346"/>
    </row>
    <row r="13" spans="1:46" s="12" customFormat="1" ht="15" customHeight="1" thickBot="1" x14ac:dyDescent="0.4">
      <c r="A13" s="247">
        <v>26</v>
      </c>
      <c r="B13" s="258">
        <v>239</v>
      </c>
      <c r="C13" s="324" t="s">
        <v>781</v>
      </c>
      <c r="D13" s="303">
        <v>30755754</v>
      </c>
      <c r="E13" s="324" t="s">
        <v>783</v>
      </c>
      <c r="F13" s="324"/>
      <c r="G13" s="301">
        <v>44866</v>
      </c>
      <c r="H13" s="247" t="e">
        <f>DATEDIF(G13,#REF!,"Y")</f>
        <v>#REF!</v>
      </c>
      <c r="I13" s="365" t="s">
        <v>839</v>
      </c>
      <c r="J13" s="247" t="s">
        <v>654</v>
      </c>
      <c r="K13" s="243" t="s">
        <v>737</v>
      </c>
      <c r="L13" s="247"/>
      <c r="M13" s="305" t="s">
        <v>813</v>
      </c>
      <c r="N13" s="305"/>
      <c r="O13" s="247"/>
      <c r="P13" s="305"/>
      <c r="Q13" s="305"/>
      <c r="R13" s="322">
        <v>30876</v>
      </c>
      <c r="S13" s="243"/>
      <c r="T13" s="305"/>
      <c r="U13" s="243" t="e">
        <f>DATEDIF(R13,#REF!,"Y")</f>
        <v>#REF!</v>
      </c>
      <c r="V13" s="251" t="e">
        <f>DATEDIF(G13,#REF!,"MD")</f>
        <v>#REF!</v>
      </c>
      <c r="W13" s="251" t="e">
        <f>DATEDIF(G13,#REF!,"YM")</f>
        <v>#REF!</v>
      </c>
      <c r="X13" s="251" t="e">
        <f>DATEDIF(G13,#REF!,"Y")</f>
        <v>#REF!</v>
      </c>
      <c r="Y13" s="305" t="s">
        <v>737</v>
      </c>
      <c r="Z13" s="305" t="s">
        <v>737</v>
      </c>
      <c r="AA13" s="305"/>
      <c r="AB13" s="305"/>
      <c r="AC13" s="247"/>
      <c r="AD13" s="247"/>
      <c r="AE13" s="345"/>
      <c r="AF13" s="247"/>
      <c r="AG13" s="345"/>
      <c r="AH13" s="247"/>
      <c r="AI13" s="305"/>
      <c r="AJ13" s="305"/>
      <c r="AK13" s="305"/>
      <c r="AL13" s="247"/>
      <c r="AM13" s="440"/>
      <c r="AN13" s="305"/>
      <c r="AO13" s="441"/>
      <c r="AP13" s="441"/>
      <c r="AQ13" s="441"/>
      <c r="AR13" s="359"/>
      <c r="AS13" s="262"/>
      <c r="AT13" s="346"/>
    </row>
    <row r="14" spans="1:46" s="12" customFormat="1" ht="15" customHeight="1" thickTop="1" x14ac:dyDescent="0.35">
      <c r="A14" s="247">
        <v>26</v>
      </c>
      <c r="B14" s="258">
        <v>240</v>
      </c>
      <c r="C14" s="324" t="s">
        <v>786</v>
      </c>
      <c r="D14" s="303">
        <v>24762318</v>
      </c>
      <c r="E14" s="324" t="s">
        <v>787</v>
      </c>
      <c r="F14" s="324" t="s">
        <v>668</v>
      </c>
      <c r="G14" s="301">
        <v>44868</v>
      </c>
      <c r="H14" s="247" t="e">
        <f>DATEDIF(G14,#REF!,"Y")</f>
        <v>#REF!</v>
      </c>
      <c r="I14" s="365" t="s">
        <v>666</v>
      </c>
      <c r="J14" s="247" t="s">
        <v>84</v>
      </c>
      <c r="K14" s="243" t="s">
        <v>24</v>
      </c>
      <c r="L14" s="247" t="s">
        <v>126</v>
      </c>
      <c r="M14" s="305" t="s">
        <v>754</v>
      </c>
      <c r="N14" s="305" t="s">
        <v>868</v>
      </c>
      <c r="O14" s="247">
        <v>8316</v>
      </c>
      <c r="P14" s="305" t="s">
        <v>4</v>
      </c>
      <c r="Q14" s="305"/>
      <c r="R14" s="322">
        <v>27612</v>
      </c>
      <c r="S14" s="243"/>
      <c r="T14" s="305"/>
      <c r="U14" s="233" t="e">
        <f>DATEDIF(R14,#REF!,"Y")</f>
        <v>#REF!</v>
      </c>
      <c r="V14" s="251" t="e">
        <f>DATEDIF(G14,#REF!,"MD")</f>
        <v>#REF!</v>
      </c>
      <c r="W14" s="251" t="e">
        <f>DATEDIF(G14,#REF!,"YM")</f>
        <v>#REF!</v>
      </c>
      <c r="X14" s="251" t="e">
        <f>DATEDIF(G14,#REF!,"Y")</f>
        <v>#REF!</v>
      </c>
      <c r="Y14" s="305" t="s">
        <v>24</v>
      </c>
      <c r="Z14" s="305" t="s">
        <v>24</v>
      </c>
      <c r="AA14" s="305"/>
      <c r="AB14" s="305"/>
      <c r="AC14" s="247"/>
      <c r="AD14" s="247"/>
      <c r="AE14" s="345"/>
      <c r="AF14" s="247"/>
      <c r="AG14" s="345"/>
      <c r="AH14" s="247"/>
      <c r="AI14" s="305"/>
      <c r="AJ14" s="305"/>
      <c r="AK14" s="305"/>
      <c r="AL14" s="247"/>
      <c r="AM14" s="436"/>
      <c r="AN14" s="436"/>
      <c r="AO14" s="441"/>
      <c r="AP14" s="441"/>
      <c r="AQ14" s="441"/>
      <c r="AR14" s="359"/>
      <c r="AS14" s="262">
        <v>45271</v>
      </c>
      <c r="AT14" s="346">
        <f>AS14+365</f>
        <v>45636</v>
      </c>
    </row>
    <row r="16" spans="1:46" s="12" customFormat="1" ht="15" customHeight="1" x14ac:dyDescent="0.35">
      <c r="A16" s="247">
        <v>44</v>
      </c>
      <c r="B16" s="258">
        <v>288</v>
      </c>
      <c r="C16" s="324" t="s">
        <v>910</v>
      </c>
      <c r="D16" s="303">
        <v>37758660</v>
      </c>
      <c r="E16" s="324" t="s">
        <v>911</v>
      </c>
      <c r="F16" s="324" t="s">
        <v>668</v>
      </c>
      <c r="G16" s="301">
        <v>45748</v>
      </c>
      <c r="H16" s="247" t="e">
        <f>DATEDIF(G16,#REF!,"Y")</f>
        <v>#REF!</v>
      </c>
      <c r="I16" s="365" t="s">
        <v>912</v>
      </c>
      <c r="J16" s="247" t="s">
        <v>84</v>
      </c>
      <c r="K16" s="248" t="s">
        <v>24</v>
      </c>
      <c r="L16" s="247"/>
      <c r="M16" s="305" t="s">
        <v>913</v>
      </c>
      <c r="N16" s="305"/>
      <c r="O16" s="247"/>
      <c r="P16" s="305"/>
      <c r="Q16" s="305"/>
      <c r="R16" s="322"/>
      <c r="S16" s="243"/>
      <c r="T16" s="305"/>
      <c r="U16" s="243"/>
      <c r="V16" s="251" t="e">
        <f>DATEDIF(G16,#REF!,"MD")</f>
        <v>#REF!</v>
      </c>
      <c r="W16" s="251" t="e">
        <f>DATEDIF(G16,#REF!,"YM")</f>
        <v>#REF!</v>
      </c>
      <c r="X16" s="251" t="e">
        <f>DATEDIF(G16,#REF!,"Y")</f>
        <v>#REF!</v>
      </c>
      <c r="Y16" s="305"/>
      <c r="Z16" s="305"/>
      <c r="AA16" s="305"/>
      <c r="AB16" s="305"/>
      <c r="AC16" s="247"/>
      <c r="AD16" s="264"/>
      <c r="AE16" s="345"/>
      <c r="AF16" s="264"/>
      <c r="AG16" s="345"/>
      <c r="AH16" s="264"/>
      <c r="AI16" s="305"/>
      <c r="AJ16" s="305"/>
      <c r="AK16" s="305"/>
      <c r="AL16" s="247"/>
      <c r="AM16" s="440"/>
      <c r="AN16" s="436"/>
      <c r="AO16" s="454"/>
      <c r="AP16" s="454"/>
      <c r="AQ16" s="454"/>
      <c r="AR16" s="359"/>
      <c r="AS16" s="262"/>
      <c r="AT16" s="346"/>
    </row>
    <row r="17" spans="1:46" s="12" customFormat="1" ht="15" customHeight="1" x14ac:dyDescent="0.35">
      <c r="A17" s="247">
        <v>46</v>
      </c>
      <c r="B17" s="258">
        <v>290</v>
      </c>
      <c r="C17" s="324" t="s">
        <v>907</v>
      </c>
      <c r="D17" s="303">
        <v>33943058</v>
      </c>
      <c r="E17" s="324" t="s">
        <v>908</v>
      </c>
      <c r="F17" s="324" t="s">
        <v>668</v>
      </c>
      <c r="G17" s="301">
        <v>45763</v>
      </c>
      <c r="H17" s="247" t="e">
        <f>DATEDIF(G17,#REF!,"Y")</f>
        <v>#REF!</v>
      </c>
      <c r="I17" s="365" t="s">
        <v>666</v>
      </c>
      <c r="J17" s="247" t="s">
        <v>84</v>
      </c>
      <c r="K17" s="248" t="s">
        <v>24</v>
      </c>
      <c r="L17" s="247"/>
      <c r="M17" s="305" t="s">
        <v>754</v>
      </c>
      <c r="N17" s="305"/>
      <c r="O17" s="247"/>
      <c r="P17" s="305"/>
      <c r="Q17" s="305"/>
      <c r="R17" s="322"/>
      <c r="S17" s="243"/>
      <c r="T17" s="305"/>
      <c r="U17" s="243"/>
      <c r="V17" s="251" t="e">
        <f>DATEDIF(G17,#REF!,"MD")</f>
        <v>#REF!</v>
      </c>
      <c r="W17" s="251" t="e">
        <f>DATEDIF(G17,#REF!,"YM")</f>
        <v>#REF!</v>
      </c>
      <c r="X17" s="251" t="e">
        <f>DATEDIF(G17,#REF!,"Y")</f>
        <v>#REF!</v>
      </c>
      <c r="Y17" s="305"/>
      <c r="Z17" s="305"/>
      <c r="AA17" s="305"/>
      <c r="AB17" s="305"/>
      <c r="AC17" s="247"/>
      <c r="AD17" s="264"/>
      <c r="AE17" s="345"/>
      <c r="AF17" s="264"/>
      <c r="AG17" s="345"/>
      <c r="AH17" s="264"/>
      <c r="AI17" s="305"/>
      <c r="AJ17" s="305"/>
      <c r="AK17" s="305"/>
      <c r="AL17" s="247"/>
      <c r="AM17" s="440"/>
      <c r="AN17" s="436"/>
      <c r="AO17" s="454"/>
      <c r="AP17" s="454"/>
      <c r="AQ17" s="454"/>
      <c r="AR17" s="359"/>
      <c r="AS17" s="262"/>
      <c r="AT17" s="346"/>
    </row>
  </sheetData>
  <mergeCells count="23">
    <mergeCell ref="S1:S2"/>
    <mergeCell ref="T1:V1"/>
    <mergeCell ref="W1:W2"/>
    <mergeCell ref="X1:X2"/>
    <mergeCell ref="Y1:Y2"/>
    <mergeCell ref="R1:R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F1:F2"/>
    <mergeCell ref="A1:A2"/>
    <mergeCell ref="B1:B2"/>
    <mergeCell ref="C1:C2"/>
    <mergeCell ref="D1:D2"/>
    <mergeCell ref="E1:E2"/>
  </mergeCells>
  <hyperlinks>
    <hyperlink ref="AR4" r:id="rId1" display="01) RRHH\FERNANDEZ, Yanina\Periodico Vto 6-12-2024.pdf" xr:uid="{00000000-0004-0000-0100-000000000000}"/>
    <hyperlink ref="AS14" r:id="rId2" display="01) RRHH\MESA NELSON DARIO\Periodico Vto 11-12-2024.pdf" xr:uid="{00000000-0004-0000-0100-000001000000}"/>
  </hyperlinks>
  <pageMargins left="0.7" right="0.7" top="0.75" bottom="0.75" header="0.3" footer="0.3"/>
  <pageSetup paperSize="9" orientation="portrait" verticalDpi="0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12"/>
  <sheetViews>
    <sheetView workbookViewId="0">
      <selection activeCell="F24" sqref="F24"/>
    </sheetView>
  </sheetViews>
  <sheetFormatPr baseColWidth="10" defaultRowHeight="15.5" x14ac:dyDescent="0.35"/>
  <cols>
    <col min="2" max="2" width="7.3046875" customWidth="1"/>
    <col min="3" max="3" width="20.53515625" customWidth="1"/>
    <col min="14" max="14" width="27.07421875" customWidth="1"/>
  </cols>
  <sheetData>
    <row r="1" spans="1:46" ht="16" thickBot="1" x14ac:dyDescent="0.4">
      <c r="A1" s="504" t="s">
        <v>93</v>
      </c>
      <c r="B1" s="505" t="s">
        <v>10</v>
      </c>
      <c r="C1" s="502" t="s">
        <v>6</v>
      </c>
      <c r="D1" s="502" t="s">
        <v>0</v>
      </c>
      <c r="E1" s="502" t="s">
        <v>103</v>
      </c>
      <c r="F1" s="502" t="s">
        <v>112</v>
      </c>
      <c r="G1" s="502" t="s">
        <v>192</v>
      </c>
      <c r="H1" s="502" t="s">
        <v>185</v>
      </c>
      <c r="I1" s="502" t="s">
        <v>176</v>
      </c>
      <c r="J1" s="502" t="s">
        <v>186</v>
      </c>
      <c r="K1" s="502" t="s">
        <v>8</v>
      </c>
      <c r="L1" s="502" t="s">
        <v>1</v>
      </c>
      <c r="M1" s="502" t="s">
        <v>177</v>
      </c>
      <c r="N1" s="502" t="s">
        <v>178</v>
      </c>
      <c r="O1" s="502" t="s">
        <v>191</v>
      </c>
      <c r="P1" s="502" t="s">
        <v>190</v>
      </c>
      <c r="Q1" s="502" t="s">
        <v>179</v>
      </c>
      <c r="R1" s="502" t="s">
        <v>180</v>
      </c>
      <c r="S1" s="502" t="s">
        <v>181</v>
      </c>
      <c r="T1" s="502" t="s">
        <v>182</v>
      </c>
      <c r="U1" s="502"/>
      <c r="V1" s="502"/>
      <c r="W1" s="502" t="s">
        <v>22</v>
      </c>
      <c r="X1" s="502" t="s">
        <v>23</v>
      </c>
      <c r="Y1" s="502" t="s">
        <v>9</v>
      </c>
    </row>
    <row r="2" spans="1:46" ht="16" thickBot="1" x14ac:dyDescent="0.4">
      <c r="A2" s="504"/>
      <c r="B2" s="506"/>
      <c r="C2" s="503"/>
      <c r="D2" s="503"/>
      <c r="E2" s="503"/>
      <c r="F2" s="503"/>
      <c r="G2" s="503"/>
      <c r="H2" s="503"/>
      <c r="I2" s="503"/>
      <c r="J2" s="503"/>
      <c r="K2" s="503"/>
      <c r="L2" s="503"/>
      <c r="M2" s="503"/>
      <c r="N2" s="503"/>
      <c r="O2" s="503"/>
      <c r="P2" s="503"/>
      <c r="Q2" s="503"/>
      <c r="R2" s="503"/>
      <c r="S2" s="503"/>
      <c r="T2" s="353" t="s">
        <v>187</v>
      </c>
      <c r="U2" s="353" t="s">
        <v>188</v>
      </c>
      <c r="V2" s="353" t="s">
        <v>189</v>
      </c>
      <c r="W2" s="503"/>
      <c r="X2" s="503"/>
      <c r="Y2" s="503"/>
    </row>
    <row r="3" spans="1:46" s="12" customFormat="1" ht="15" customHeight="1" thickTop="1" x14ac:dyDescent="0.35">
      <c r="A3" s="247">
        <v>23</v>
      </c>
      <c r="B3" s="258">
        <v>171</v>
      </c>
      <c r="C3" s="255" t="s">
        <v>515</v>
      </c>
      <c r="D3" s="303">
        <v>38147713</v>
      </c>
      <c r="E3" s="320" t="s">
        <v>516</v>
      </c>
      <c r="F3" s="320" t="s">
        <v>562</v>
      </c>
      <c r="G3" s="301">
        <v>43682</v>
      </c>
      <c r="H3" s="245" t="e">
        <f>DATEDIF(G3,#REF!,"Y")</f>
        <v>#REF!</v>
      </c>
      <c r="I3" s="246" t="s">
        <v>383</v>
      </c>
      <c r="J3" s="260" t="s">
        <v>208</v>
      </c>
      <c r="K3" s="248" t="s">
        <v>25</v>
      </c>
      <c r="L3" s="247" t="s">
        <v>126</v>
      </c>
      <c r="M3" s="250" t="s">
        <v>812</v>
      </c>
      <c r="N3" s="305" t="s">
        <v>603</v>
      </c>
      <c r="O3" s="247">
        <v>8324</v>
      </c>
      <c r="P3" s="305" t="s">
        <v>578</v>
      </c>
      <c r="Q3" s="305" t="s">
        <v>3</v>
      </c>
      <c r="R3" s="322">
        <v>34514</v>
      </c>
      <c r="S3" s="243">
        <v>2804679748</v>
      </c>
      <c r="T3" s="305"/>
      <c r="U3" s="233" t="e">
        <f>DATEDIF(R3,#REF!,"Y")</f>
        <v>#REF!</v>
      </c>
      <c r="V3" s="251" t="e">
        <f>DATEDIF(G3,#REF!,"MD")</f>
        <v>#REF!</v>
      </c>
      <c r="W3" s="251" t="e">
        <f>DATEDIF(G3,#REF!,"YM")</f>
        <v>#REF!</v>
      </c>
      <c r="X3" s="251" t="e">
        <f>DATEDIF(G3,#REF!,"Y")</f>
        <v>#REF!</v>
      </c>
      <c r="Y3" s="305" t="s">
        <v>98</v>
      </c>
      <c r="Z3" s="305" t="s">
        <v>98</v>
      </c>
      <c r="AA3" s="305" t="s">
        <v>31</v>
      </c>
      <c r="AB3" s="305"/>
      <c r="AC3" s="345" t="s">
        <v>348</v>
      </c>
      <c r="AD3" s="264">
        <v>45761</v>
      </c>
      <c r="AE3" s="253" t="s">
        <v>348</v>
      </c>
      <c r="AF3" s="264">
        <v>45864</v>
      </c>
      <c r="AG3" s="345" t="s">
        <v>102</v>
      </c>
      <c r="AH3" s="264">
        <v>45420</v>
      </c>
      <c r="AI3" s="254" t="s">
        <v>700</v>
      </c>
      <c r="AJ3" s="435"/>
      <c r="AK3" s="439"/>
      <c r="AL3" s="305"/>
      <c r="AM3" s="360" t="s">
        <v>355</v>
      </c>
      <c r="AN3" s="262">
        <v>45083</v>
      </c>
      <c r="AO3" s="311">
        <f>AN3+365</f>
        <v>45448</v>
      </c>
    </row>
    <row r="4" spans="1:46" s="12" customFormat="1" ht="15" customHeight="1" x14ac:dyDescent="0.35">
      <c r="A4" s="247">
        <v>39</v>
      </c>
      <c r="B4" s="258">
        <v>262</v>
      </c>
      <c r="C4" s="324" t="s">
        <v>835</v>
      </c>
      <c r="D4" s="303">
        <v>40696979</v>
      </c>
      <c r="E4" s="324" t="s">
        <v>838</v>
      </c>
      <c r="F4" s="324"/>
      <c r="G4" s="301">
        <v>45231</v>
      </c>
      <c r="H4" s="247" t="e">
        <f>DATEDIF(G4,#REF!,"Y")</f>
        <v>#REF!</v>
      </c>
      <c r="I4" s="365" t="s">
        <v>839</v>
      </c>
      <c r="J4" s="247" t="s">
        <v>654</v>
      </c>
      <c r="K4" s="243" t="s">
        <v>737</v>
      </c>
      <c r="L4" s="247"/>
      <c r="M4" s="305"/>
      <c r="N4" s="305"/>
      <c r="O4" s="247"/>
      <c r="P4" s="305"/>
      <c r="Q4" s="305"/>
      <c r="R4" s="322">
        <v>35682</v>
      </c>
      <c r="S4" s="243"/>
      <c r="T4" s="305"/>
      <c r="U4" s="243" t="e">
        <f>DATEDIF(R4,#REF!,"Y")</f>
        <v>#REF!</v>
      </c>
      <c r="V4" s="251" t="e">
        <f>DATEDIF(G4,#REF!,"MD")</f>
        <v>#REF!</v>
      </c>
      <c r="W4" s="251" t="e">
        <f>DATEDIF(G4,#REF!,"YM")</f>
        <v>#REF!</v>
      </c>
      <c r="X4" s="251" t="e">
        <f>DATEDIF(G4,#REF!,"Y")</f>
        <v>#REF!</v>
      </c>
      <c r="Y4" s="305" t="s">
        <v>737</v>
      </c>
      <c r="Z4" s="305" t="s">
        <v>737</v>
      </c>
      <c r="AA4" s="250" t="s">
        <v>495</v>
      </c>
      <c r="AB4" s="305"/>
      <c r="AC4" s="247"/>
      <c r="AD4" s="264"/>
      <c r="AE4" s="345"/>
      <c r="AF4" s="264"/>
      <c r="AG4" s="345"/>
      <c r="AH4" s="264"/>
      <c r="AI4" s="305"/>
      <c r="AJ4" s="247"/>
      <c r="AK4" s="440"/>
      <c r="AL4" s="247"/>
      <c r="AM4" s="359"/>
      <c r="AN4" s="262"/>
      <c r="AO4" s="346"/>
    </row>
    <row r="5" spans="1:46" s="12" customFormat="1" ht="15" customHeight="1" thickBot="1" x14ac:dyDescent="0.4">
      <c r="A5" s="247">
        <v>34</v>
      </c>
      <c r="B5" s="258">
        <v>255</v>
      </c>
      <c r="C5" s="324" t="s">
        <v>823</v>
      </c>
      <c r="D5" s="303">
        <v>36150804</v>
      </c>
      <c r="E5" s="324" t="s">
        <v>824</v>
      </c>
      <c r="F5" s="324" t="s">
        <v>562</v>
      </c>
      <c r="G5" s="301">
        <v>45162</v>
      </c>
      <c r="H5" s="247" t="e">
        <f>DATEDIF(G5,#REF!,"Y")</f>
        <v>#REF!</v>
      </c>
      <c r="I5" s="365" t="s">
        <v>383</v>
      </c>
      <c r="J5" s="247" t="s">
        <v>208</v>
      </c>
      <c r="K5" s="243" t="s">
        <v>25</v>
      </c>
      <c r="L5" s="247" t="s">
        <v>95</v>
      </c>
      <c r="M5" s="305" t="s">
        <v>812</v>
      </c>
      <c r="N5" s="305"/>
      <c r="O5" s="247">
        <v>8316</v>
      </c>
      <c r="P5" s="305" t="s">
        <v>5</v>
      </c>
      <c r="Q5" s="305" t="s">
        <v>5</v>
      </c>
      <c r="R5" s="322">
        <v>33333</v>
      </c>
      <c r="S5" s="243"/>
      <c r="T5" s="305"/>
      <c r="U5" s="243" t="e">
        <f>DATEDIF(R5,#REF!,"Y")</f>
        <v>#REF!</v>
      </c>
      <c r="V5" s="251" t="e">
        <f>DATEDIF(G5,#REF!,"MD")</f>
        <v>#REF!</v>
      </c>
      <c r="W5" s="251" t="e">
        <f>DATEDIF(G5,#REF!,"YM")</f>
        <v>#REF!</v>
      </c>
      <c r="X5" s="251" t="e">
        <f>DATEDIF(G5,#REF!,"Y")</f>
        <v>#REF!</v>
      </c>
      <c r="Y5" s="305" t="s">
        <v>98</v>
      </c>
      <c r="Z5" s="305" t="s">
        <v>98</v>
      </c>
      <c r="AA5" s="305" t="s">
        <v>31</v>
      </c>
      <c r="AB5" s="305"/>
      <c r="AC5" s="247" t="s">
        <v>348</v>
      </c>
      <c r="AD5" s="264">
        <v>45586</v>
      </c>
      <c r="AE5" s="345"/>
      <c r="AF5" s="264">
        <v>45864</v>
      </c>
      <c r="AG5" s="345" t="s">
        <v>348</v>
      </c>
      <c r="AH5" s="264">
        <v>45431</v>
      </c>
      <c r="AI5" s="443">
        <v>45801</v>
      </c>
      <c r="AJ5" s="305"/>
      <c r="AK5" s="264">
        <v>45955</v>
      </c>
      <c r="AL5" s="440"/>
      <c r="AM5" s="247"/>
      <c r="AN5" s="359" t="s">
        <v>357</v>
      </c>
      <c r="AO5" s="262">
        <v>45155</v>
      </c>
      <c r="AP5" s="346">
        <f>+AO5+365</f>
        <v>45520</v>
      </c>
    </row>
    <row r="6" spans="1:46" s="12" customFormat="1" ht="15" customHeight="1" thickTop="1" x14ac:dyDescent="0.35">
      <c r="A6" s="247">
        <v>15</v>
      </c>
      <c r="B6" s="258">
        <v>148</v>
      </c>
      <c r="C6" s="255" t="s">
        <v>448</v>
      </c>
      <c r="D6" s="303">
        <v>24372064</v>
      </c>
      <c r="E6" s="259">
        <v>20243720649</v>
      </c>
      <c r="F6" s="259" t="s">
        <v>563</v>
      </c>
      <c r="G6" s="244">
        <v>43344</v>
      </c>
      <c r="H6" s="245" t="e">
        <f>DATEDIF(G6,#REF!,"Y")</f>
        <v>#REF!</v>
      </c>
      <c r="I6" s="246" t="s">
        <v>383</v>
      </c>
      <c r="J6" s="260" t="s">
        <v>208</v>
      </c>
      <c r="K6" s="248" t="s">
        <v>25</v>
      </c>
      <c r="L6" s="249" t="s">
        <v>81</v>
      </c>
      <c r="M6" s="250" t="s">
        <v>812</v>
      </c>
      <c r="N6" s="250" t="s">
        <v>709</v>
      </c>
      <c r="O6" s="249">
        <v>8300</v>
      </c>
      <c r="P6" s="250" t="s">
        <v>5</v>
      </c>
      <c r="Q6" s="250" t="s">
        <v>5</v>
      </c>
      <c r="R6" s="248">
        <v>27365</v>
      </c>
      <c r="S6" s="250" t="s">
        <v>459</v>
      </c>
      <c r="T6" s="243"/>
      <c r="U6" s="233" t="e">
        <f>DATEDIF(R6,#REF!,"Y")</f>
        <v>#REF!</v>
      </c>
      <c r="V6" s="251" t="e">
        <f>DATEDIF(G6,#REF!,"MD")</f>
        <v>#REF!</v>
      </c>
      <c r="W6" s="251" t="e">
        <f>DATEDIF(G6,#REF!,"YM")</f>
        <v>#REF!</v>
      </c>
      <c r="X6" s="251" t="e">
        <f>DATEDIF(G6,#REF!,"Y")</f>
        <v>#REF!</v>
      </c>
      <c r="Y6" s="250" t="s">
        <v>98</v>
      </c>
      <c r="Z6" s="250" t="s">
        <v>98</v>
      </c>
      <c r="AA6" s="250" t="s">
        <v>495</v>
      </c>
      <c r="AB6" s="250"/>
      <c r="AC6" s="253" t="s">
        <v>348</v>
      </c>
      <c r="AD6" s="264">
        <v>45442</v>
      </c>
      <c r="AE6" s="253" t="s">
        <v>348</v>
      </c>
      <c r="AF6" s="264">
        <v>45744</v>
      </c>
      <c r="AG6" s="253" t="s">
        <v>102</v>
      </c>
      <c r="AH6" s="264">
        <v>45473</v>
      </c>
      <c r="AI6" s="444">
        <v>45518</v>
      </c>
      <c r="AJ6" s="254"/>
      <c r="AK6" s="436">
        <v>45228</v>
      </c>
      <c r="AL6" s="455"/>
      <c r="AM6" s="305"/>
      <c r="AN6" s="360" t="s">
        <v>355</v>
      </c>
      <c r="AO6" s="256">
        <v>45358</v>
      </c>
      <c r="AP6" s="311">
        <f>AO6+365</f>
        <v>45723</v>
      </c>
    </row>
    <row r="7" spans="1:46" s="12" customFormat="1" ht="15" customHeight="1" x14ac:dyDescent="0.35">
      <c r="A7" s="247">
        <v>31</v>
      </c>
      <c r="B7" s="258">
        <v>250</v>
      </c>
      <c r="C7" s="324" t="s">
        <v>806</v>
      </c>
      <c r="D7" s="303">
        <v>38494707</v>
      </c>
      <c r="E7" s="324" t="s">
        <v>807</v>
      </c>
      <c r="F7" s="324" t="s">
        <v>668</v>
      </c>
      <c r="G7" s="301">
        <v>45027</v>
      </c>
      <c r="H7" s="247" t="e">
        <f>DATEDIF(G7,#REF!,"Y")</f>
        <v>#REF!</v>
      </c>
      <c r="I7" s="365" t="s">
        <v>666</v>
      </c>
      <c r="J7" s="247" t="s">
        <v>84</v>
      </c>
      <c r="K7" s="243" t="s">
        <v>24</v>
      </c>
      <c r="L7" s="247" t="s">
        <v>95</v>
      </c>
      <c r="M7" s="305" t="s">
        <v>618</v>
      </c>
      <c r="N7" s="305"/>
      <c r="O7" s="247">
        <v>8300</v>
      </c>
      <c r="P7" s="305"/>
      <c r="Q7" s="305"/>
      <c r="R7" s="322">
        <v>34611</v>
      </c>
      <c r="S7" s="243"/>
      <c r="T7" s="305"/>
      <c r="U7" s="243" t="e">
        <f>DATEDIF(R7,#REF!,"Y")</f>
        <v>#REF!</v>
      </c>
      <c r="V7" s="251" t="e">
        <f>DATEDIF(G7,#REF!,"MD")</f>
        <v>#REF!</v>
      </c>
      <c r="W7" s="251" t="e">
        <f>DATEDIF(G7,#REF!,"YM")</f>
        <v>#REF!</v>
      </c>
      <c r="X7" s="251" t="e">
        <f>DATEDIF(G7,#REF!,"Y")</f>
        <v>#REF!</v>
      </c>
      <c r="Y7" s="305" t="s">
        <v>24</v>
      </c>
      <c r="Z7" s="305" t="s">
        <v>24</v>
      </c>
      <c r="AA7" s="305" t="s">
        <v>31</v>
      </c>
      <c r="AB7" s="305"/>
      <c r="AC7" s="247"/>
      <c r="AD7" s="264"/>
      <c r="AE7" s="345"/>
      <c r="AF7" s="264"/>
      <c r="AG7" s="345"/>
      <c r="AH7" s="247"/>
      <c r="AI7" s="305"/>
      <c r="AJ7" s="305"/>
      <c r="AK7" s="247"/>
      <c r="AL7" s="440"/>
      <c r="AM7" s="247"/>
      <c r="AN7" s="359"/>
      <c r="AO7" s="262"/>
      <c r="AP7" s="346"/>
    </row>
    <row r="8" spans="1:46" s="12" customFormat="1" ht="15" customHeight="1" x14ac:dyDescent="0.35">
      <c r="A8" s="247">
        <v>41</v>
      </c>
      <c r="B8" s="258">
        <v>267</v>
      </c>
      <c r="C8" s="324" t="s">
        <v>854</v>
      </c>
      <c r="D8" s="303">
        <v>40442684</v>
      </c>
      <c r="E8" s="324" t="s">
        <v>858</v>
      </c>
      <c r="F8" s="324" t="s">
        <v>668</v>
      </c>
      <c r="G8" s="301">
        <v>45413</v>
      </c>
      <c r="H8" s="247" t="e">
        <f>DATEDIF(G8,#REF!,"Y")</f>
        <v>#REF!</v>
      </c>
      <c r="I8" s="365" t="s">
        <v>666</v>
      </c>
      <c r="J8" s="247" t="s">
        <v>84</v>
      </c>
      <c r="K8" s="243" t="s">
        <v>24</v>
      </c>
      <c r="L8" s="247" t="s">
        <v>26</v>
      </c>
      <c r="M8" s="243" t="s">
        <v>618</v>
      </c>
      <c r="N8" s="305"/>
      <c r="O8" s="247"/>
      <c r="P8" s="305"/>
      <c r="Q8" s="305"/>
      <c r="R8" s="322"/>
      <c r="S8" s="243"/>
      <c r="T8" s="305"/>
      <c r="U8" s="243"/>
      <c r="V8" s="251" t="e">
        <f>DATEDIF(G8,#REF!,"MD")</f>
        <v>#REF!</v>
      </c>
      <c r="W8" s="251" t="e">
        <f>DATEDIF(G8,#REF!,"YM")</f>
        <v>#REF!</v>
      </c>
      <c r="X8" s="251" t="e">
        <f>DATEDIF(G8,#REF!,"Y")</f>
        <v>#REF!</v>
      </c>
      <c r="Y8" s="305"/>
      <c r="Z8" s="305"/>
      <c r="AA8" s="305"/>
      <c r="AB8" s="305"/>
      <c r="AC8" s="247"/>
      <c r="AD8" s="264"/>
      <c r="AE8" s="345"/>
      <c r="AF8" s="264"/>
      <c r="AG8" s="345"/>
      <c r="AH8" s="264"/>
      <c r="AI8" s="305"/>
      <c r="AJ8" s="305"/>
      <c r="AK8" s="247"/>
      <c r="AL8" s="440"/>
      <c r="AM8" s="247"/>
      <c r="AN8" s="359"/>
      <c r="AO8" s="262"/>
      <c r="AP8" s="346"/>
    </row>
    <row r="9" spans="1:46" s="12" customFormat="1" ht="15" customHeight="1" x14ac:dyDescent="0.35">
      <c r="A9" s="247">
        <v>41</v>
      </c>
      <c r="B9" s="258">
        <v>269</v>
      </c>
      <c r="C9" s="324" t="s">
        <v>856</v>
      </c>
      <c r="D9" s="303">
        <v>44671843</v>
      </c>
      <c r="E9" s="324" t="s">
        <v>860</v>
      </c>
      <c r="F9" s="324" t="s">
        <v>668</v>
      </c>
      <c r="G9" s="301">
        <v>45422</v>
      </c>
      <c r="H9" s="247" t="e">
        <f>DATEDIF(G9,#REF!,"Y")</f>
        <v>#REF!</v>
      </c>
      <c r="I9" s="365" t="s">
        <v>666</v>
      </c>
      <c r="J9" s="247" t="s">
        <v>84</v>
      </c>
      <c r="K9" s="243" t="s">
        <v>24</v>
      </c>
      <c r="L9" s="247" t="s">
        <v>26</v>
      </c>
      <c r="M9" s="243" t="s">
        <v>618</v>
      </c>
      <c r="N9" s="305"/>
      <c r="O9" s="247"/>
      <c r="P9" s="305"/>
      <c r="Q9" s="305"/>
      <c r="R9" s="322"/>
      <c r="S9" s="243"/>
      <c r="T9" s="305"/>
      <c r="U9" s="243"/>
      <c r="V9" s="251" t="e">
        <f>DATEDIF(G9,#REF!,"MD")</f>
        <v>#REF!</v>
      </c>
      <c r="W9" s="251" t="e">
        <f>DATEDIF(G9,#REF!,"YM")</f>
        <v>#REF!</v>
      </c>
      <c r="X9" s="251" t="e">
        <f>DATEDIF(G9,#REF!,"Y")</f>
        <v>#REF!</v>
      </c>
      <c r="Y9" s="305"/>
      <c r="Z9" s="305"/>
      <c r="AA9" s="305"/>
      <c r="AB9" s="305"/>
      <c r="AC9" s="247"/>
      <c r="AD9" s="264"/>
      <c r="AE9" s="345"/>
      <c r="AF9" s="264"/>
      <c r="AG9" s="345"/>
      <c r="AH9" s="264"/>
      <c r="AI9" s="305"/>
      <c r="AJ9" s="305"/>
      <c r="AK9" s="247"/>
      <c r="AL9" s="440"/>
      <c r="AM9" s="247"/>
      <c r="AN9" s="359"/>
      <c r="AO9" s="262"/>
      <c r="AP9" s="346"/>
    </row>
    <row r="10" spans="1:46" s="12" customFormat="1" ht="15" customHeight="1" x14ac:dyDescent="0.35">
      <c r="A10" s="247">
        <v>48</v>
      </c>
      <c r="B10" s="258">
        <v>277</v>
      </c>
      <c r="C10" s="324" t="s">
        <v>878</v>
      </c>
      <c r="D10" s="303">
        <v>42910991</v>
      </c>
      <c r="E10" s="324" t="s">
        <v>879</v>
      </c>
      <c r="F10" s="324" t="s">
        <v>668</v>
      </c>
      <c r="G10" s="301">
        <v>45467</v>
      </c>
      <c r="H10" s="247" t="e">
        <f>DATEDIF(G10,#REF!,"Y")</f>
        <v>#REF!</v>
      </c>
      <c r="I10" s="365" t="s">
        <v>666</v>
      </c>
      <c r="J10" s="247" t="s">
        <v>84</v>
      </c>
      <c r="K10" s="243" t="s">
        <v>24</v>
      </c>
      <c r="L10" s="247" t="s">
        <v>26</v>
      </c>
      <c r="M10" s="305" t="s">
        <v>618</v>
      </c>
      <c r="N10" s="305"/>
      <c r="O10" s="247"/>
      <c r="P10" s="305"/>
      <c r="Q10" s="305"/>
      <c r="R10" s="322"/>
      <c r="S10" s="243"/>
      <c r="T10" s="305"/>
      <c r="U10" s="243"/>
      <c r="V10" s="251" t="e">
        <f>DATEDIF(G10,#REF!,"MD")</f>
        <v>#REF!</v>
      </c>
      <c r="W10" s="251" t="e">
        <f>DATEDIF(G10,#REF!,"YM")</f>
        <v>#REF!</v>
      </c>
      <c r="X10" s="251" t="e">
        <f>DATEDIF(G10,#REF!,"Y")</f>
        <v>#REF!</v>
      </c>
      <c r="Y10" s="305"/>
      <c r="Z10" s="305"/>
      <c r="AA10" s="305"/>
      <c r="AB10" s="305"/>
      <c r="AC10" s="247"/>
      <c r="AD10" s="264"/>
      <c r="AE10" s="345"/>
      <c r="AF10" s="264"/>
      <c r="AG10" s="345"/>
      <c r="AH10" s="264"/>
      <c r="AI10" s="305"/>
      <c r="AJ10" s="305"/>
      <c r="AK10" s="247"/>
      <c r="AL10" s="440"/>
      <c r="AM10" s="247"/>
      <c r="AN10" s="359"/>
      <c r="AO10" s="262"/>
      <c r="AP10" s="346"/>
    </row>
    <row r="11" spans="1:46" s="12" customFormat="1" ht="15" customHeight="1" x14ac:dyDescent="0.35">
      <c r="A11" s="247">
        <v>44</v>
      </c>
      <c r="B11" s="258">
        <v>273</v>
      </c>
      <c r="C11" s="324" t="s">
        <v>869</v>
      </c>
      <c r="D11" s="303">
        <v>30842908</v>
      </c>
      <c r="E11" s="324" t="s">
        <v>870</v>
      </c>
      <c r="F11" s="324" t="s">
        <v>668</v>
      </c>
      <c r="G11" s="301">
        <v>45460</v>
      </c>
      <c r="H11" s="247" t="e">
        <f>DATEDIF(G11,#REF!,"Y")</f>
        <v>#REF!</v>
      </c>
      <c r="I11" s="365" t="s">
        <v>666</v>
      </c>
      <c r="J11" s="247" t="s">
        <v>84</v>
      </c>
      <c r="K11" s="243" t="s">
        <v>24</v>
      </c>
      <c r="L11" s="247" t="s">
        <v>26</v>
      </c>
      <c r="M11" s="305" t="s">
        <v>754</v>
      </c>
      <c r="N11" s="305"/>
      <c r="O11" s="247">
        <v>8300</v>
      </c>
      <c r="P11" s="305"/>
      <c r="Q11" s="305"/>
      <c r="R11" s="322"/>
      <c r="S11" s="243"/>
      <c r="T11" s="305"/>
      <c r="U11" s="243"/>
      <c r="V11" s="251" t="e">
        <f>DATEDIF(G11,#REF!,"MD")</f>
        <v>#REF!</v>
      </c>
      <c r="W11" s="251" t="e">
        <f>DATEDIF(G11,#REF!,"YM")</f>
        <v>#REF!</v>
      </c>
      <c r="X11" s="251" t="e">
        <f>DATEDIF(G11,#REF!,"Y")</f>
        <v>#REF!</v>
      </c>
      <c r="Y11" s="305"/>
      <c r="Z11" s="305"/>
      <c r="AA11" s="305"/>
      <c r="AB11" s="305"/>
      <c r="AC11" s="247"/>
      <c r="AD11" s="264"/>
      <c r="AE11" s="345"/>
      <c r="AF11" s="264"/>
      <c r="AG11" s="345"/>
      <c r="AH11" s="264"/>
      <c r="AI11" s="305"/>
      <c r="AJ11" s="305"/>
      <c r="AK11" s="305"/>
      <c r="AL11" s="247"/>
      <c r="AM11" s="440"/>
      <c r="AN11" s="247"/>
      <c r="AO11" s="454"/>
      <c r="AP11" s="454"/>
      <c r="AQ11" s="359"/>
      <c r="AR11" s="262"/>
      <c r="AS11" s="346"/>
    </row>
    <row r="12" spans="1:46" s="12" customFormat="1" ht="15" customHeight="1" x14ac:dyDescent="0.35">
      <c r="A12" s="247">
        <v>42</v>
      </c>
      <c r="B12" s="258">
        <v>274</v>
      </c>
      <c r="C12" s="324" t="s">
        <v>871</v>
      </c>
      <c r="D12" s="303">
        <v>37213579</v>
      </c>
      <c r="E12" s="324" t="s">
        <v>873</v>
      </c>
      <c r="F12" s="324" t="s">
        <v>562</v>
      </c>
      <c r="G12" s="301">
        <v>45462</v>
      </c>
      <c r="H12" s="247" t="e">
        <f>DATEDIF(G12,#REF!,"Y")</f>
        <v>#REF!</v>
      </c>
      <c r="I12" s="365" t="s">
        <v>383</v>
      </c>
      <c r="J12" s="247" t="s">
        <v>208</v>
      </c>
      <c r="K12" s="243" t="s">
        <v>25</v>
      </c>
      <c r="L12" s="247" t="s">
        <v>26</v>
      </c>
      <c r="M12" s="250" t="s">
        <v>882</v>
      </c>
      <c r="N12" s="305"/>
      <c r="O12" s="247">
        <v>8300</v>
      </c>
      <c r="P12" s="305"/>
      <c r="Q12" s="305"/>
      <c r="R12" s="322"/>
      <c r="S12" s="243"/>
      <c r="T12" s="305"/>
      <c r="U12" s="243"/>
      <c r="V12" s="251" t="e">
        <f>DATEDIF(G12,#REF!,"MD")</f>
        <v>#REF!</v>
      </c>
      <c r="W12" s="251" t="e">
        <f>DATEDIF(G12,#REF!,"YM")</f>
        <v>#REF!</v>
      </c>
      <c r="X12" s="251" t="e">
        <f>DATEDIF(G12,#REF!,"Y")</f>
        <v>#REF!</v>
      </c>
      <c r="Y12" s="305"/>
      <c r="Z12" s="305"/>
      <c r="AA12" s="305"/>
      <c r="AB12" s="305"/>
      <c r="AC12" s="247"/>
      <c r="AD12" s="264">
        <v>46072</v>
      </c>
      <c r="AE12" s="345"/>
      <c r="AF12" s="264">
        <v>46189</v>
      </c>
      <c r="AG12" s="345"/>
      <c r="AH12" s="264"/>
      <c r="AI12" s="305"/>
      <c r="AJ12" s="305"/>
      <c r="AK12" s="305"/>
      <c r="AL12" s="247"/>
      <c r="AM12" s="440"/>
      <c r="AN12" s="247"/>
      <c r="AO12" s="454"/>
      <c r="AP12" s="454"/>
      <c r="AQ12" s="454"/>
      <c r="AR12" s="359" t="s">
        <v>357</v>
      </c>
      <c r="AS12" s="262">
        <v>45457</v>
      </c>
      <c r="AT12" s="346">
        <f>365+AS12</f>
        <v>45822</v>
      </c>
    </row>
  </sheetData>
  <mergeCells count="23">
    <mergeCell ref="F1:F2"/>
    <mergeCell ref="A1:A2"/>
    <mergeCell ref="B1:B2"/>
    <mergeCell ref="C1:C2"/>
    <mergeCell ref="D1:D2"/>
    <mergeCell ref="E1:E2"/>
    <mergeCell ref="R1:R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S1:S2"/>
    <mergeCell ref="T1:V1"/>
    <mergeCell ref="W1:W2"/>
    <mergeCell ref="X1:X2"/>
    <mergeCell ref="Y1:Y2"/>
  </mergeCells>
  <hyperlinks>
    <hyperlink ref="AF3" r:id="rId1" display="01) RRHH\ALGAÑARAZ FRANCO MATIAS\MD Vto 26-07-2025.pdf" xr:uid="{00000000-0004-0000-0200-000000000000}"/>
    <hyperlink ref="AD3" r:id="rId2" display="01) RRHH\ALGAÑARAZ FRANCO MATIAS\licencia de conducir vto 14-04-2025.pdf" xr:uid="{00000000-0004-0000-0200-000001000000}"/>
    <hyperlink ref="AH3" r:id="rId3" display="01) RRHH\ALGAÑARAZ FRANCO MATIAS\licencia Cargas Grales  VTO 08-05-2024.pdf" xr:uid="{00000000-0004-0000-0200-000002000000}"/>
    <hyperlink ref="AN3" r:id="rId4" display="01) RRHH\ALGAÑARAZ FRANCO MATIAS\Ex. Periodico Vto 06-06-2024.pdf" xr:uid="{00000000-0004-0000-0200-000003000000}"/>
    <hyperlink ref="AO5" r:id="rId5" display="01) RRHH\SANCHEZ EMANUEL EMILIANO\Ex. Preocupacional VTO 17-08-2024.pdf" xr:uid="{00000000-0004-0000-0200-000004000000}"/>
    <hyperlink ref="AH5" r:id="rId6" display="01) RRHH\SANCHEZ EMANUEL EMILIANO\Linti VTO 19-05-2024.pdf" xr:uid="{00000000-0004-0000-0200-000005000000}"/>
    <hyperlink ref="AD5" r:id="rId7" display="01) RRHH\SANCHEZ EMANUEL EMILIANO\LIC. CONDUCIR VTO 21-10-2024.pdf" xr:uid="{00000000-0004-0000-0200-000006000000}"/>
    <hyperlink ref="AF5" r:id="rId8" display="01) RRHH\SANCHEZ EMANUEL EMILIANO\MD Vto 26-07-2025.pdf" xr:uid="{00000000-0004-0000-0200-000007000000}"/>
    <hyperlink ref="AK5" r:id="rId9" display="01) RRHH\SANCHEZ EMANUEL EMILIANO\Cert_Inicial_ESLINGADOR Y SEÑALERO_NASER_25_10 (1).pdf" xr:uid="{00000000-0004-0000-0200-000008000000}"/>
    <hyperlink ref="AI5" r:id="rId10" display="01) RRHH\SANCHEZ EMANUEL EMILIANO\linti.pdf" xr:uid="{00000000-0004-0000-0200-000009000000}"/>
    <hyperlink ref="AK6" r:id="rId11" display="01) RRHH\FLORES CRISTIAN SERGIO\Carnet eslingador y señalero VTO 29-10-2023.pdf" xr:uid="{00000000-0004-0000-0200-00000A000000}"/>
    <hyperlink ref="AH6" r:id="rId12" display="01) RRHH\FLORES CRISTIAN SERGIO\LINTI Vto 30-06-2024.pdf" xr:uid="{00000000-0004-0000-0200-00000B000000}"/>
    <hyperlink ref="AO6" r:id="rId13" display="01) RRHH\FLORES CRISTIAN SERGIO\Periodico Flores to 07-03-2025.pdf" xr:uid="{00000000-0004-0000-0200-00000C000000}"/>
    <hyperlink ref="AF6" r:id="rId14" display="01) RRHH\FLORES CRISTIAN SERGIO\MD Vto 28-03-2025.pdf" xr:uid="{00000000-0004-0000-0200-00000D000000}"/>
    <hyperlink ref="AD6" r:id="rId15" display="01) RRHH\FLORES CRISTIAN SERGIO\Licencia de conducir VTO 30-05-24.pdf" xr:uid="{00000000-0004-0000-0200-00000E000000}"/>
    <hyperlink ref="AI6" r:id="rId16" display="01) RRHH\FLORES CRISTIAN SERGIO\linti.pdf" xr:uid="{00000000-0004-0000-0200-00000F000000}"/>
    <hyperlink ref="AD12" r:id="rId17" display="01) RRHH\ROMERO MAURICIO JOAQUIN\Licencia.pdf" xr:uid="{00000000-0004-0000-0200-000010000000}"/>
    <hyperlink ref="AF12" r:id="rId18" display="01) RRHH\ROMERO MAURICIO JOAQUIN\MD Flota Liviana Vto 19-06-2026.pdf" xr:uid="{00000000-0004-0000-0200-000011000000}"/>
    <hyperlink ref="AS12" r:id="rId19" display="01) RRHH\ROMERO MAURICIO JOAQUIN\Preocupacional Vto 14-6-25.pdf" xr:uid="{00000000-0004-0000-0200-000012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25"/>
  <sheetViews>
    <sheetView workbookViewId="0">
      <selection activeCell="D7" sqref="D7"/>
    </sheetView>
  </sheetViews>
  <sheetFormatPr baseColWidth="10" defaultRowHeight="15.5" x14ac:dyDescent="0.35"/>
  <cols>
    <col min="1" max="1" width="9.53515625" customWidth="1"/>
    <col min="2" max="2" width="6.07421875" customWidth="1"/>
    <col min="3" max="3" width="22.07421875" customWidth="1"/>
  </cols>
  <sheetData>
    <row r="1" spans="1:41" ht="16" thickBot="1" x14ac:dyDescent="0.4">
      <c r="A1" s="504" t="s">
        <v>93</v>
      </c>
      <c r="B1" s="505" t="s">
        <v>10</v>
      </c>
      <c r="C1" s="502" t="s">
        <v>6</v>
      </c>
      <c r="D1" s="502" t="s">
        <v>0</v>
      </c>
      <c r="E1" s="502" t="s">
        <v>103</v>
      </c>
      <c r="F1" s="502" t="s">
        <v>112</v>
      </c>
      <c r="G1" s="502" t="s">
        <v>192</v>
      </c>
      <c r="H1" s="502" t="s">
        <v>185</v>
      </c>
      <c r="I1" s="502" t="s">
        <v>176</v>
      </c>
      <c r="J1" s="502" t="s">
        <v>186</v>
      </c>
      <c r="K1" s="502" t="s">
        <v>8</v>
      </c>
      <c r="L1" s="502" t="s">
        <v>1</v>
      </c>
      <c r="M1" s="502" t="s">
        <v>177</v>
      </c>
      <c r="N1" s="502" t="s">
        <v>178</v>
      </c>
      <c r="O1" s="502" t="s">
        <v>191</v>
      </c>
      <c r="P1" s="502" t="s">
        <v>190</v>
      </c>
      <c r="Q1" s="502" t="s">
        <v>179</v>
      </c>
      <c r="R1" s="502" t="s">
        <v>180</v>
      </c>
      <c r="S1" s="502" t="s">
        <v>181</v>
      </c>
      <c r="T1" s="502" t="s">
        <v>182</v>
      </c>
      <c r="U1" s="502"/>
      <c r="V1" s="502"/>
      <c r="W1" s="502" t="s">
        <v>22</v>
      </c>
      <c r="X1" s="502" t="s">
        <v>23</v>
      </c>
      <c r="Y1" s="502" t="s">
        <v>9</v>
      </c>
    </row>
    <row r="2" spans="1:41" x14ac:dyDescent="0.35">
      <c r="A2" s="504"/>
      <c r="B2" s="506"/>
      <c r="C2" s="503"/>
      <c r="D2" s="503"/>
      <c r="E2" s="503"/>
      <c r="F2" s="503"/>
      <c r="G2" s="503"/>
      <c r="H2" s="503"/>
      <c r="I2" s="503"/>
      <c r="J2" s="503"/>
      <c r="K2" s="503"/>
      <c r="L2" s="503"/>
      <c r="M2" s="503"/>
      <c r="N2" s="503"/>
      <c r="O2" s="503"/>
      <c r="P2" s="503"/>
      <c r="Q2" s="503"/>
      <c r="R2" s="503"/>
      <c r="S2" s="503"/>
      <c r="T2" s="353" t="s">
        <v>187</v>
      </c>
      <c r="U2" s="353" t="s">
        <v>188</v>
      </c>
      <c r="V2" s="353" t="s">
        <v>189</v>
      </c>
      <c r="W2" s="503"/>
      <c r="X2" s="503"/>
      <c r="Y2" s="503"/>
    </row>
    <row r="3" spans="1:41" s="12" customFormat="1" ht="15" customHeight="1" x14ac:dyDescent="0.35">
      <c r="A3" s="247"/>
      <c r="B3" s="437">
        <v>231</v>
      </c>
      <c r="C3" s="324" t="s">
        <v>758</v>
      </c>
      <c r="D3" s="324" t="s">
        <v>761</v>
      </c>
      <c r="E3" s="247" t="s">
        <v>100</v>
      </c>
      <c r="F3" s="324" t="s">
        <v>668</v>
      </c>
      <c r="G3" s="301">
        <v>44778</v>
      </c>
      <c r="H3" s="247" t="e">
        <f>DATEDIF(G3,#REF!,"Y")</f>
        <v>#REF!</v>
      </c>
      <c r="I3" s="365"/>
      <c r="J3" s="247" t="s">
        <v>84</v>
      </c>
      <c r="K3" s="243" t="s">
        <v>24</v>
      </c>
      <c r="L3" s="247" t="s">
        <v>754</v>
      </c>
      <c r="M3" s="305" t="s">
        <v>754</v>
      </c>
      <c r="N3" s="305"/>
      <c r="O3" s="247">
        <v>8300</v>
      </c>
      <c r="P3" s="305" t="s">
        <v>5</v>
      </c>
      <c r="Q3" s="305" t="s">
        <v>5</v>
      </c>
      <c r="R3" s="322">
        <v>25997</v>
      </c>
      <c r="S3" s="243">
        <v>2994836481</v>
      </c>
      <c r="T3" s="305"/>
      <c r="U3" s="243" t="e">
        <f>DATEDIF(R3,#REF!,"Y")</f>
        <v>#REF!</v>
      </c>
      <c r="V3" s="251" t="e">
        <f>DATEDIF(G3,#REF!,"MD")</f>
        <v>#REF!</v>
      </c>
      <c r="W3" s="251" t="e">
        <f>DATEDIF(G3,#REF!,"YM")</f>
        <v>#REF!</v>
      </c>
      <c r="X3" s="251" t="e">
        <f>DATEDIF(G3,#REF!,"Y")</f>
        <v>#REF!</v>
      </c>
      <c r="Y3" s="305" t="s">
        <v>24</v>
      </c>
      <c r="Z3" s="305" t="s">
        <v>24</v>
      </c>
      <c r="AA3" s="305"/>
      <c r="AB3" s="305"/>
      <c r="AC3" s="247"/>
      <c r="AD3" s="247"/>
      <c r="AE3" s="345"/>
      <c r="AF3" s="247"/>
      <c r="AG3" s="345"/>
      <c r="AH3" s="247"/>
      <c r="AI3" s="305"/>
      <c r="AJ3" s="324"/>
      <c r="AK3" s="262"/>
      <c r="AL3" s="346"/>
    </row>
    <row r="4" spans="1:41" s="12" customFormat="1" ht="15" customHeight="1" x14ac:dyDescent="0.35">
      <c r="A4" s="247"/>
      <c r="B4" s="437">
        <v>233</v>
      </c>
      <c r="C4" s="324" t="s">
        <v>760</v>
      </c>
      <c r="D4" s="324" t="s">
        <v>759</v>
      </c>
      <c r="E4" s="247"/>
      <c r="F4" s="324" t="s">
        <v>668</v>
      </c>
      <c r="G4" s="301">
        <v>44783</v>
      </c>
      <c r="H4" s="247" t="e">
        <f>DATEDIF(G4,#REF!,"Y")</f>
        <v>#REF!</v>
      </c>
      <c r="I4" s="365"/>
      <c r="J4" s="247" t="s">
        <v>84</v>
      </c>
      <c r="K4" s="243" t="s">
        <v>24</v>
      </c>
      <c r="L4" s="247" t="s">
        <v>754</v>
      </c>
      <c r="M4" s="305" t="s">
        <v>754</v>
      </c>
      <c r="N4" s="305"/>
      <c r="O4" s="247">
        <v>8300</v>
      </c>
      <c r="P4" s="305" t="s">
        <v>5</v>
      </c>
      <c r="Q4" s="305" t="s">
        <v>5</v>
      </c>
      <c r="R4" s="322">
        <v>34865</v>
      </c>
      <c r="S4" s="243"/>
      <c r="T4" s="305"/>
      <c r="U4" s="243" t="e">
        <f>DATEDIF(R4,#REF!,"Y")</f>
        <v>#REF!</v>
      </c>
      <c r="V4" s="251" t="e">
        <f>DATEDIF(G4,#REF!,"MD")</f>
        <v>#REF!</v>
      </c>
      <c r="W4" s="251" t="e">
        <f>DATEDIF(G4,#REF!,"YM")</f>
        <v>#REF!</v>
      </c>
      <c r="X4" s="251" t="e">
        <f>DATEDIF(G4,#REF!,"Y")</f>
        <v>#REF!</v>
      </c>
      <c r="Y4" s="305" t="s">
        <v>24</v>
      </c>
      <c r="Z4" s="305" t="s">
        <v>24</v>
      </c>
      <c r="AA4" s="305"/>
      <c r="AB4" s="305"/>
      <c r="AC4" s="247"/>
      <c r="AD4" s="247"/>
      <c r="AE4" s="345"/>
      <c r="AF4" s="247"/>
      <c r="AG4" s="345"/>
      <c r="AH4" s="247"/>
      <c r="AI4" s="305"/>
      <c r="AJ4" s="324"/>
      <c r="AK4" s="262"/>
      <c r="AL4" s="346"/>
    </row>
    <row r="5" spans="1:41" s="12" customFormat="1" ht="15" customHeight="1" x14ac:dyDescent="0.35">
      <c r="A5" s="247"/>
      <c r="B5" s="437">
        <v>236</v>
      </c>
      <c r="C5" s="324" t="s">
        <v>775</v>
      </c>
      <c r="D5" s="324" t="s">
        <v>776</v>
      </c>
      <c r="E5" s="247"/>
      <c r="F5" s="324" t="s">
        <v>668</v>
      </c>
      <c r="G5" s="301">
        <v>44810</v>
      </c>
      <c r="H5" s="247" t="e">
        <f>DATEDIF(G5,#REF!,"Y")</f>
        <v>#REF!</v>
      </c>
      <c r="I5" s="365"/>
      <c r="J5" s="247" t="s">
        <v>84</v>
      </c>
      <c r="K5" s="243" t="s">
        <v>24</v>
      </c>
      <c r="L5" s="247" t="s">
        <v>777</v>
      </c>
      <c r="M5" s="305" t="s">
        <v>618</v>
      </c>
      <c r="N5" s="305"/>
      <c r="O5" s="247">
        <v>8300</v>
      </c>
      <c r="P5" s="305" t="s">
        <v>5</v>
      </c>
      <c r="Q5" s="305" t="s">
        <v>5</v>
      </c>
      <c r="R5" s="322">
        <v>34656</v>
      </c>
      <c r="S5" s="243"/>
      <c r="T5" s="305"/>
      <c r="U5" s="243" t="e">
        <f>DATEDIF(R5,#REF!,"Y")</f>
        <v>#REF!</v>
      </c>
      <c r="V5" s="251" t="e">
        <f>DATEDIF(G5,#REF!,"MD")</f>
        <v>#REF!</v>
      </c>
      <c r="W5" s="251" t="e">
        <f>DATEDIF(G5,#REF!,"YM")</f>
        <v>#REF!</v>
      </c>
      <c r="X5" s="251" t="e">
        <f>DATEDIF(G5,#REF!,"Y")</f>
        <v>#REF!</v>
      </c>
      <c r="Y5" s="305"/>
      <c r="Z5" s="305"/>
      <c r="AA5" s="305"/>
      <c r="AB5" s="305"/>
      <c r="AC5" s="247"/>
      <c r="AD5" s="247"/>
      <c r="AE5" s="345"/>
      <c r="AF5" s="247"/>
      <c r="AG5" s="345"/>
      <c r="AH5" s="247"/>
      <c r="AI5" s="305"/>
      <c r="AJ5" s="324"/>
      <c r="AK5" s="262"/>
      <c r="AL5" s="346"/>
    </row>
    <row r="6" spans="1:41" s="12" customFormat="1" ht="15" customHeight="1" x14ac:dyDescent="0.35">
      <c r="A6" s="247"/>
      <c r="B6" s="437">
        <v>208</v>
      </c>
      <c r="C6" s="255" t="s">
        <v>684</v>
      </c>
      <c r="D6" s="259" t="s">
        <v>792</v>
      </c>
      <c r="E6" s="247" t="s">
        <v>313</v>
      </c>
      <c r="F6" s="259" t="s">
        <v>668</v>
      </c>
      <c r="G6" s="301">
        <v>44373</v>
      </c>
      <c r="H6" s="245" t="e">
        <f>DATEDIF(G6,#REF!,"Y")</f>
        <v>#REF!</v>
      </c>
      <c r="I6" s="246"/>
      <c r="J6" s="260" t="s">
        <v>84</v>
      </c>
      <c r="K6" s="248" t="s">
        <v>24</v>
      </c>
      <c r="L6" s="249" t="s">
        <v>618</v>
      </c>
      <c r="M6" s="250" t="s">
        <v>618</v>
      </c>
      <c r="N6" s="250" t="s">
        <v>716</v>
      </c>
      <c r="O6" s="249">
        <v>8316</v>
      </c>
      <c r="P6" s="250" t="s">
        <v>4</v>
      </c>
      <c r="Q6" s="250" t="s">
        <v>5</v>
      </c>
      <c r="R6" s="248">
        <v>33357</v>
      </c>
      <c r="S6" s="250">
        <v>2994635366</v>
      </c>
      <c r="T6" s="243"/>
      <c r="U6" s="243" t="e">
        <f>DATEDIF(R6,#REF!,"Y")</f>
        <v>#REF!</v>
      </c>
      <c r="V6" s="251" t="e">
        <f>DATEDIF(G6,#REF!,"MD")</f>
        <v>#REF!</v>
      </c>
      <c r="W6" s="251" t="e">
        <f>DATEDIF(G6,#REF!,"YM")</f>
        <v>#REF!</v>
      </c>
      <c r="X6" s="251" t="e">
        <f>DATEDIF(G6,#REF!,"Y")</f>
        <v>#REF!</v>
      </c>
      <c r="Y6" s="250" t="s">
        <v>24</v>
      </c>
      <c r="Z6" s="250" t="s">
        <v>24</v>
      </c>
      <c r="AA6" s="250"/>
      <c r="AB6" s="250"/>
      <c r="AC6" s="253"/>
      <c r="AD6" s="264"/>
      <c r="AE6" s="253"/>
      <c r="AF6" s="264"/>
      <c r="AG6" s="253"/>
      <c r="AH6" s="249"/>
      <c r="AI6" s="254"/>
      <c r="AJ6" s="324"/>
      <c r="AK6" s="256"/>
      <c r="AL6" s="313"/>
    </row>
    <row r="7" spans="1:41" s="12" customFormat="1" ht="15" customHeight="1" x14ac:dyDescent="0.35">
      <c r="A7" s="247"/>
      <c r="B7" s="437">
        <v>179</v>
      </c>
      <c r="C7" s="324" t="s">
        <v>542</v>
      </c>
      <c r="D7" s="324" t="s">
        <v>543</v>
      </c>
      <c r="E7" s="247" t="s">
        <v>313</v>
      </c>
      <c r="F7" s="324" t="s">
        <v>564</v>
      </c>
      <c r="G7" s="301">
        <v>44889</v>
      </c>
      <c r="H7" s="247" t="e">
        <f>DATEDIF(G7,#REF!,"Y")</f>
        <v>#REF!</v>
      </c>
      <c r="I7" s="365"/>
      <c r="J7" s="247" t="s">
        <v>395</v>
      </c>
      <c r="K7" s="243" t="s">
        <v>396</v>
      </c>
      <c r="L7" s="247" t="s">
        <v>403</v>
      </c>
      <c r="M7" s="305" t="s">
        <v>403</v>
      </c>
      <c r="N7" s="305"/>
      <c r="O7" s="247"/>
      <c r="P7" s="305"/>
      <c r="Q7" s="305"/>
      <c r="R7" s="322"/>
      <c r="S7" s="243"/>
      <c r="T7" s="305"/>
      <c r="U7" s="243"/>
      <c r="V7" s="251" t="e">
        <f>DATEDIF(G7,#REF!,"MD")</f>
        <v>#REF!</v>
      </c>
      <c r="W7" s="251" t="e">
        <f>DATEDIF(G7,#REF!,"YM")</f>
        <v>#REF!</v>
      </c>
      <c r="X7" s="251" t="e">
        <f>DATEDIF(G7,#REF!,"Y")</f>
        <v>#REF!</v>
      </c>
      <c r="Y7" s="305"/>
      <c r="Z7" s="305"/>
      <c r="AA7" s="305"/>
      <c r="AB7" s="305"/>
      <c r="AC7" s="247"/>
      <c r="AD7" s="247"/>
      <c r="AE7" s="345"/>
      <c r="AF7" s="247"/>
      <c r="AG7" s="345"/>
      <c r="AH7" s="247"/>
      <c r="AI7" s="305"/>
      <c r="AJ7" s="324"/>
      <c r="AK7" s="262"/>
      <c r="AL7" s="346"/>
    </row>
    <row r="8" spans="1:41" s="12" customFormat="1" ht="15" customHeight="1" x14ac:dyDescent="0.35">
      <c r="A8" s="247"/>
      <c r="B8" s="437">
        <v>244</v>
      </c>
      <c r="C8" s="324" t="s">
        <v>790</v>
      </c>
      <c r="D8" s="324" t="s">
        <v>791</v>
      </c>
      <c r="E8" s="247" t="s">
        <v>100</v>
      </c>
      <c r="F8" s="324" t="s">
        <v>668</v>
      </c>
      <c r="G8" s="301">
        <v>44889</v>
      </c>
      <c r="H8" s="247" t="e">
        <f>DATEDIF(G8,#REF!,"Y")</f>
        <v>#REF!</v>
      </c>
      <c r="I8" s="365"/>
      <c r="J8" s="247" t="s">
        <v>84</v>
      </c>
      <c r="K8" s="243" t="s">
        <v>24</v>
      </c>
      <c r="L8" s="247" t="s">
        <v>618</v>
      </c>
      <c r="M8" s="305" t="s">
        <v>618</v>
      </c>
      <c r="N8" s="305"/>
      <c r="O8" s="247">
        <v>8300</v>
      </c>
      <c r="P8" s="305" t="s">
        <v>5</v>
      </c>
      <c r="Q8" s="305"/>
      <c r="R8" s="322"/>
      <c r="S8" s="243"/>
      <c r="T8" s="305"/>
      <c r="U8" s="243" t="e">
        <f>DATEDIF(R8,#REF!,"Y")</f>
        <v>#REF!</v>
      </c>
      <c r="V8" s="251" t="e">
        <f>DATEDIF(G8,#REF!,"MD")</f>
        <v>#REF!</v>
      </c>
      <c r="W8" s="251" t="e">
        <f>DATEDIF(G8,#REF!,"YM")</f>
        <v>#REF!</v>
      </c>
      <c r="X8" s="251" t="e">
        <f>DATEDIF(G8,#REF!,"Y")</f>
        <v>#REF!</v>
      </c>
      <c r="Y8" s="305" t="s">
        <v>24</v>
      </c>
      <c r="Z8" s="305" t="s">
        <v>24</v>
      </c>
      <c r="AA8" s="305"/>
      <c r="AB8" s="305"/>
      <c r="AC8" s="247"/>
      <c r="AD8" s="247"/>
      <c r="AE8" s="345"/>
      <c r="AF8" s="247"/>
      <c r="AG8" s="345"/>
      <c r="AH8" s="247"/>
      <c r="AI8" s="305"/>
      <c r="AJ8" s="324"/>
      <c r="AK8" s="262"/>
      <c r="AL8" s="346"/>
    </row>
    <row r="9" spans="1:41" s="12" customFormat="1" ht="15" customHeight="1" x14ac:dyDescent="0.35">
      <c r="A9" s="247"/>
      <c r="B9" s="437">
        <v>241</v>
      </c>
      <c r="C9" s="324" t="s">
        <v>784</v>
      </c>
      <c r="D9" s="324" t="s">
        <v>785</v>
      </c>
      <c r="E9" s="247" t="s">
        <v>100</v>
      </c>
      <c r="F9" s="324" t="s">
        <v>668</v>
      </c>
      <c r="G9" s="301">
        <v>44862</v>
      </c>
      <c r="H9" s="247" t="e">
        <f>DATEDIF(G9,#REF!,"Y")</f>
        <v>#REF!</v>
      </c>
      <c r="I9" s="365"/>
      <c r="J9" s="247" t="s">
        <v>84</v>
      </c>
      <c r="K9" s="243" t="s">
        <v>24</v>
      </c>
      <c r="L9" s="247" t="s">
        <v>754</v>
      </c>
      <c r="M9" s="305" t="s">
        <v>754</v>
      </c>
      <c r="N9" s="305"/>
      <c r="O9" s="247">
        <v>8316</v>
      </c>
      <c r="P9" s="305" t="s">
        <v>4</v>
      </c>
      <c r="Q9" s="305"/>
      <c r="R9" s="322"/>
      <c r="S9" s="243"/>
      <c r="T9" s="305"/>
      <c r="U9" s="243" t="e">
        <f>DATEDIF(R9,#REF!,"Y")</f>
        <v>#REF!</v>
      </c>
      <c r="V9" s="251" t="e">
        <f>DATEDIF(G9,#REF!,"MD")</f>
        <v>#REF!</v>
      </c>
      <c r="W9" s="251" t="e">
        <f>DATEDIF(G9,#REF!,"YM")</f>
        <v>#REF!</v>
      </c>
      <c r="X9" s="251" t="e">
        <f>DATEDIF(G9,#REF!,"Y")</f>
        <v>#REF!</v>
      </c>
      <c r="Y9" s="305" t="s">
        <v>24</v>
      </c>
      <c r="Z9" s="305" t="s">
        <v>24</v>
      </c>
      <c r="AA9" s="305"/>
      <c r="AB9" s="305"/>
      <c r="AC9" s="247"/>
      <c r="AD9" s="264"/>
      <c r="AE9" s="345"/>
      <c r="AF9" s="264"/>
      <c r="AG9" s="345"/>
      <c r="AH9" s="264"/>
      <c r="AI9" s="305"/>
      <c r="AJ9" s="324"/>
      <c r="AK9" s="262"/>
      <c r="AL9" s="346"/>
    </row>
    <row r="10" spans="1:41" s="12" customFormat="1" ht="15" customHeight="1" x14ac:dyDescent="0.35">
      <c r="A10" s="247"/>
      <c r="B10" s="437">
        <v>136</v>
      </c>
      <c r="C10" s="324" t="s">
        <v>794</v>
      </c>
      <c r="D10" s="324" t="s">
        <v>411</v>
      </c>
      <c r="E10" s="247" t="s">
        <v>313</v>
      </c>
      <c r="F10" s="324" t="s">
        <v>564</v>
      </c>
      <c r="G10" s="301">
        <v>44949</v>
      </c>
      <c r="H10" s="247" t="e">
        <f>DATEDIF(G10,#REF!,"Y")</f>
        <v>#REF!</v>
      </c>
      <c r="I10" s="365"/>
      <c r="J10" s="247" t="s">
        <v>395</v>
      </c>
      <c r="K10" s="243" t="s">
        <v>396</v>
      </c>
      <c r="L10" s="247" t="s">
        <v>403</v>
      </c>
      <c r="M10" s="305" t="s">
        <v>403</v>
      </c>
      <c r="N10" s="305"/>
      <c r="O10" s="247">
        <v>8300</v>
      </c>
      <c r="P10" s="305"/>
      <c r="Q10" s="305"/>
      <c r="R10" s="322"/>
      <c r="S10" s="243"/>
      <c r="T10" s="305"/>
      <c r="U10" s="243"/>
      <c r="V10" s="251" t="e">
        <f>DATEDIF(G10,#REF!,"MD")</f>
        <v>#REF!</v>
      </c>
      <c r="W10" s="251" t="e">
        <f>DATEDIF(G10,#REF!,"YM")</f>
        <v>#REF!</v>
      </c>
      <c r="X10" s="251" t="e">
        <f>DATEDIF(G10,#REF!,"Y")</f>
        <v>#REF!</v>
      </c>
      <c r="Y10" s="305" t="s">
        <v>396</v>
      </c>
      <c r="Z10" s="305" t="s">
        <v>396</v>
      </c>
      <c r="AA10" s="305"/>
      <c r="AB10" s="305"/>
      <c r="AC10" s="247"/>
      <c r="AD10" s="247"/>
      <c r="AE10" s="345"/>
      <c r="AF10" s="247"/>
      <c r="AG10" s="345"/>
      <c r="AH10" s="247"/>
      <c r="AI10" s="305"/>
      <c r="AJ10" s="324"/>
      <c r="AK10" s="262"/>
      <c r="AL10" s="346"/>
    </row>
    <row r="11" spans="1:41" s="12" customFormat="1" ht="15" customHeight="1" x14ac:dyDescent="0.35">
      <c r="A11" s="247"/>
      <c r="B11" s="437">
        <v>248</v>
      </c>
      <c r="C11" s="324" t="s">
        <v>800</v>
      </c>
      <c r="D11" s="324" t="s">
        <v>801</v>
      </c>
      <c r="E11" s="247" t="s">
        <v>825</v>
      </c>
      <c r="F11" s="324" t="s">
        <v>668</v>
      </c>
      <c r="G11" s="301">
        <v>44989</v>
      </c>
      <c r="H11" s="247" t="e">
        <f>DATEDIF(G11,#REF!,"Y")</f>
        <v>#REF!</v>
      </c>
      <c r="I11" s="365"/>
      <c r="J11" s="247" t="s">
        <v>84</v>
      </c>
      <c r="K11" s="243" t="s">
        <v>24</v>
      </c>
      <c r="L11" s="247" t="s">
        <v>754</v>
      </c>
      <c r="M11" s="305" t="s">
        <v>802</v>
      </c>
      <c r="N11" s="305"/>
      <c r="O11" s="247">
        <v>8300</v>
      </c>
      <c r="P11" s="305"/>
      <c r="Q11" s="305"/>
      <c r="R11" s="322"/>
      <c r="S11" s="243"/>
      <c r="T11" s="305"/>
      <c r="U11" s="243" t="e">
        <f>DATEDIF(R11,#REF!,"Y")</f>
        <v>#REF!</v>
      </c>
      <c r="V11" s="251" t="e">
        <f>DATEDIF(G11,#REF!,"MD")</f>
        <v>#REF!</v>
      </c>
      <c r="W11" s="251" t="e">
        <f>DATEDIF(G11,#REF!,"YM")</f>
        <v>#REF!</v>
      </c>
      <c r="X11" s="251" t="e">
        <f>DATEDIF(G11,#REF!,"Y")</f>
        <v>#REF!</v>
      </c>
      <c r="Y11" s="305"/>
      <c r="Z11" s="305"/>
      <c r="AA11" s="305"/>
      <c r="AB11" s="305"/>
      <c r="AC11" s="247"/>
      <c r="AD11" s="264"/>
      <c r="AE11" s="345"/>
      <c r="AF11" s="264"/>
      <c r="AG11" s="345"/>
      <c r="AH11" s="247"/>
      <c r="AI11" s="305"/>
      <c r="AJ11" s="324"/>
      <c r="AK11" s="262"/>
      <c r="AL11" s="346"/>
    </row>
    <row r="12" spans="1:41" s="419" customFormat="1" ht="15" customHeight="1" x14ac:dyDescent="0.35">
      <c r="A12" s="400"/>
      <c r="B12" s="445">
        <v>185</v>
      </c>
      <c r="C12" s="402" t="s">
        <v>556</v>
      </c>
      <c r="D12" s="403" t="s">
        <v>557</v>
      </c>
      <c r="E12" s="400" t="s">
        <v>100</v>
      </c>
      <c r="F12" s="403" t="s">
        <v>562</v>
      </c>
      <c r="G12" s="404">
        <v>43794</v>
      </c>
      <c r="H12" s="405" t="e">
        <f>DATEDIF(G12,#REF!,"Y")</f>
        <v>#REF!</v>
      </c>
      <c r="I12" s="406" t="s">
        <v>383</v>
      </c>
      <c r="J12" s="407" t="s">
        <v>208</v>
      </c>
      <c r="K12" s="408" t="s">
        <v>25</v>
      </c>
      <c r="L12" s="409" t="s">
        <v>69</v>
      </c>
      <c r="M12" s="422" t="s">
        <v>219</v>
      </c>
      <c r="N12" s="410" t="s">
        <v>713</v>
      </c>
      <c r="O12" s="409">
        <v>8300</v>
      </c>
      <c r="P12" s="410" t="s">
        <v>5</v>
      </c>
      <c r="Q12" s="410" t="s">
        <v>5</v>
      </c>
      <c r="R12" s="408">
        <v>32244</v>
      </c>
      <c r="S12" s="410">
        <v>2994544879</v>
      </c>
      <c r="T12" s="411"/>
      <c r="U12" s="411" t="e">
        <f>DATEDIF(R12,#REF!,"Y")</f>
        <v>#REF!</v>
      </c>
      <c r="V12" s="412" t="e">
        <f>DATEDIF(G12,#REF!,"MD")</f>
        <v>#REF!</v>
      </c>
      <c r="W12" s="412" t="e">
        <f>DATEDIF(G12,#REF!,"YM")</f>
        <v>#REF!</v>
      </c>
      <c r="X12" s="412" t="e">
        <f>DATEDIF(G12,#REF!,"Y")</f>
        <v>#REF!</v>
      </c>
      <c r="Y12" s="422" t="s">
        <v>98</v>
      </c>
      <c r="Z12" s="422" t="s">
        <v>98</v>
      </c>
      <c r="AA12" s="410" t="s">
        <v>216</v>
      </c>
      <c r="AB12" s="410"/>
      <c r="AC12" s="413" t="s">
        <v>348</v>
      </c>
      <c r="AD12" s="414">
        <v>46123</v>
      </c>
      <c r="AE12" s="413" t="s">
        <v>348</v>
      </c>
      <c r="AF12" s="414">
        <v>44525</v>
      </c>
      <c r="AG12" s="413"/>
      <c r="AH12" s="409"/>
      <c r="AI12" s="415"/>
      <c r="AJ12" s="402" t="s">
        <v>355</v>
      </c>
      <c r="AK12" s="417">
        <v>44211</v>
      </c>
      <c r="AL12" s="418">
        <f>AK12+365</f>
        <v>44576</v>
      </c>
    </row>
    <row r="13" spans="1:41" s="419" customFormat="1" ht="15" customHeight="1" x14ac:dyDescent="0.35">
      <c r="A13" s="400"/>
      <c r="B13" s="445">
        <v>220</v>
      </c>
      <c r="C13" s="416" t="s">
        <v>726</v>
      </c>
      <c r="D13" s="416" t="s">
        <v>727</v>
      </c>
      <c r="E13" s="400" t="s">
        <v>100</v>
      </c>
      <c r="F13" s="416"/>
      <c r="G13" s="404">
        <v>44627</v>
      </c>
      <c r="H13" s="400" t="e">
        <f>DATEDIF(G13,#REF!,"Y")</f>
        <v>#REF!</v>
      </c>
      <c r="I13" s="421"/>
      <c r="J13" s="400" t="s">
        <v>207</v>
      </c>
      <c r="K13" s="408" t="s">
        <v>12</v>
      </c>
      <c r="L13" s="400"/>
      <c r="M13" s="422" t="s">
        <v>728</v>
      </c>
      <c r="N13" s="422"/>
      <c r="O13" s="400">
        <v>8300</v>
      </c>
      <c r="P13" s="422" t="s">
        <v>5</v>
      </c>
      <c r="Q13" s="422" t="s">
        <v>5</v>
      </c>
      <c r="R13" s="423">
        <v>30055</v>
      </c>
      <c r="S13" s="411">
        <v>2945516521</v>
      </c>
      <c r="T13" s="422"/>
      <c r="U13" s="411" t="e">
        <f>DATEDIF(R13,#REF!,"Y")</f>
        <v>#REF!</v>
      </c>
      <c r="V13" s="412" t="e">
        <f>DATEDIF(G13,#REF!,"MD")</f>
        <v>#REF!</v>
      </c>
      <c r="W13" s="412" t="e">
        <f>DATEDIF(G13,#REF!,"YM")</f>
        <v>#REF!</v>
      </c>
      <c r="X13" s="412" t="e">
        <f>DATEDIF(G13,#REF!,"Y")</f>
        <v>#REF!</v>
      </c>
      <c r="Y13" s="422" t="s">
        <v>225</v>
      </c>
      <c r="Z13" s="422" t="s">
        <v>225</v>
      </c>
      <c r="AA13" s="422" t="s">
        <v>31</v>
      </c>
      <c r="AB13" s="422"/>
      <c r="AC13" s="400" t="s">
        <v>348</v>
      </c>
      <c r="AD13" s="414">
        <v>45959</v>
      </c>
      <c r="AE13" s="428" t="s">
        <v>348</v>
      </c>
      <c r="AF13" s="414">
        <v>45329</v>
      </c>
      <c r="AG13" s="428"/>
      <c r="AH13" s="400"/>
      <c r="AI13" s="422"/>
      <c r="AJ13" s="402" t="s">
        <v>355</v>
      </c>
      <c r="AK13" s="425">
        <v>44944</v>
      </c>
      <c r="AL13" s="426">
        <f>AK13+365</f>
        <v>45309</v>
      </c>
    </row>
    <row r="14" spans="1:41" s="419" customFormat="1" ht="15" customHeight="1" thickBot="1" x14ac:dyDescent="0.4">
      <c r="A14" s="400"/>
      <c r="B14" s="445">
        <v>194</v>
      </c>
      <c r="C14" s="402" t="s">
        <v>606</v>
      </c>
      <c r="D14" s="403" t="s">
        <v>607</v>
      </c>
      <c r="E14" s="400" t="s">
        <v>100</v>
      </c>
      <c r="F14" s="403" t="s">
        <v>562</v>
      </c>
      <c r="G14" s="404">
        <v>44174</v>
      </c>
      <c r="H14" s="405" t="e">
        <f>DATEDIF(G14,#REF!,"Y")</f>
        <v>#REF!</v>
      </c>
      <c r="I14" s="406" t="s">
        <v>383</v>
      </c>
      <c r="J14" s="407" t="s">
        <v>208</v>
      </c>
      <c r="K14" s="408" t="s">
        <v>25</v>
      </c>
      <c r="L14" s="409" t="s">
        <v>120</v>
      </c>
      <c r="M14" s="410" t="s">
        <v>363</v>
      </c>
      <c r="N14" s="410" t="s">
        <v>714</v>
      </c>
      <c r="O14" s="409">
        <v>8300</v>
      </c>
      <c r="P14" s="410" t="s">
        <v>5</v>
      </c>
      <c r="Q14" s="410" t="s">
        <v>5</v>
      </c>
      <c r="R14" s="408">
        <v>28009</v>
      </c>
      <c r="S14" s="410">
        <v>3873507676</v>
      </c>
      <c r="T14" s="411"/>
      <c r="U14" s="411" t="e">
        <f>DATEDIF(R14,#REF!,"Y")</f>
        <v>#REF!</v>
      </c>
      <c r="V14" s="412" t="e">
        <f>DATEDIF(G14,#REF!,"MD")</f>
        <v>#REF!</v>
      </c>
      <c r="W14" s="412" t="e">
        <f>DATEDIF(G14,#REF!,"YM")</f>
        <v>#REF!</v>
      </c>
      <c r="X14" s="412" t="e">
        <f>DATEDIF(G14,#REF!,"Y")</f>
        <v>#REF!</v>
      </c>
      <c r="Y14" s="422" t="s">
        <v>98</v>
      </c>
      <c r="Z14" s="422" t="s">
        <v>98</v>
      </c>
      <c r="AA14" s="410" t="s">
        <v>216</v>
      </c>
      <c r="AB14" s="410"/>
      <c r="AC14" s="413" t="s">
        <v>348</v>
      </c>
      <c r="AD14" s="414">
        <v>45241</v>
      </c>
      <c r="AE14" s="413" t="s">
        <v>348</v>
      </c>
      <c r="AF14" s="414">
        <v>45681</v>
      </c>
      <c r="AG14" s="413"/>
      <c r="AH14" s="409"/>
      <c r="AI14" s="415"/>
      <c r="AJ14" s="446">
        <v>45228</v>
      </c>
      <c r="AK14" s="446"/>
      <c r="AL14" s="402" t="s">
        <v>355</v>
      </c>
      <c r="AM14" s="417">
        <v>45021</v>
      </c>
      <c r="AN14" s="418">
        <f>AM14+365</f>
        <v>45386</v>
      </c>
      <c r="AO14" s="447"/>
    </row>
    <row r="15" spans="1:41" s="419" customFormat="1" ht="15" customHeight="1" thickTop="1" x14ac:dyDescent="0.35">
      <c r="A15" s="400"/>
      <c r="B15" s="445">
        <v>129</v>
      </c>
      <c r="C15" s="402" t="s">
        <v>377</v>
      </c>
      <c r="D15" s="403">
        <v>20286010459</v>
      </c>
      <c r="E15" s="400" t="s">
        <v>313</v>
      </c>
      <c r="F15" s="403" t="s">
        <v>563</v>
      </c>
      <c r="G15" s="429">
        <v>43178</v>
      </c>
      <c r="H15" s="405" t="e">
        <f>DATEDIF(G15,#REF!,"Y")</f>
        <v>#REF!</v>
      </c>
      <c r="I15" s="406" t="s">
        <v>383</v>
      </c>
      <c r="J15" s="400" t="s">
        <v>207</v>
      </c>
      <c r="K15" s="408" t="s">
        <v>12</v>
      </c>
      <c r="L15" s="409" t="s">
        <v>239</v>
      </c>
      <c r="M15" s="410" t="s">
        <v>428</v>
      </c>
      <c r="N15" s="410" t="s">
        <v>378</v>
      </c>
      <c r="O15" s="409">
        <v>8300</v>
      </c>
      <c r="P15" s="410" t="s">
        <v>5</v>
      </c>
      <c r="Q15" s="410" t="s">
        <v>5</v>
      </c>
      <c r="R15" s="408">
        <v>29769</v>
      </c>
      <c r="S15" s="410">
        <v>2995940689</v>
      </c>
      <c r="T15" s="411"/>
      <c r="U15" s="430" t="e">
        <f>DATEDIF(R15,#REF!,"Y")</f>
        <v>#REF!</v>
      </c>
      <c r="V15" s="412" t="e">
        <f>DATEDIF(G15,#REF!,"MD")</f>
        <v>#REF!</v>
      </c>
      <c r="W15" s="412" t="e">
        <f>DATEDIF(G15,#REF!,"YM")</f>
        <v>#REF!</v>
      </c>
      <c r="X15" s="412" t="e">
        <f>DATEDIF(G15,#REF!,"Y")</f>
        <v>#REF!</v>
      </c>
      <c r="Y15" s="410" t="s">
        <v>98</v>
      </c>
      <c r="Z15" s="410" t="s">
        <v>98</v>
      </c>
      <c r="AA15" s="410" t="s">
        <v>495</v>
      </c>
      <c r="AB15" s="410"/>
      <c r="AC15" s="413" t="s">
        <v>348</v>
      </c>
      <c r="AD15" s="448">
        <v>45554</v>
      </c>
      <c r="AE15" s="413" t="s">
        <v>348</v>
      </c>
      <c r="AF15" s="448">
        <v>45719</v>
      </c>
      <c r="AG15" s="413"/>
      <c r="AH15" s="409"/>
      <c r="AI15" s="415"/>
      <c r="AJ15" s="449"/>
      <c r="AK15" s="449"/>
      <c r="AL15" s="402" t="s">
        <v>355</v>
      </c>
      <c r="AM15" s="450">
        <v>44963</v>
      </c>
      <c r="AN15" s="432">
        <f>AM15+365</f>
        <v>45328</v>
      </c>
    </row>
    <row r="16" spans="1:41" s="419" customFormat="1" ht="15" customHeight="1" thickBot="1" x14ac:dyDescent="0.4">
      <c r="A16" s="400"/>
      <c r="B16" s="445">
        <v>247</v>
      </c>
      <c r="C16" s="416" t="s">
        <v>798</v>
      </c>
      <c r="D16" s="416" t="s">
        <v>799</v>
      </c>
      <c r="E16" s="400" t="s">
        <v>100</v>
      </c>
      <c r="F16" s="416" t="s">
        <v>562</v>
      </c>
      <c r="G16" s="404">
        <v>44963</v>
      </c>
      <c r="H16" s="400" t="e">
        <f>DATEDIF(G16,#REF!,"Y")</f>
        <v>#REF!</v>
      </c>
      <c r="I16" s="421" t="s">
        <v>383</v>
      </c>
      <c r="J16" s="400" t="s">
        <v>208</v>
      </c>
      <c r="K16" s="411" t="s">
        <v>25</v>
      </c>
      <c r="L16" s="400" t="s">
        <v>26</v>
      </c>
      <c r="M16" s="422" t="s">
        <v>219</v>
      </c>
      <c r="N16" s="422"/>
      <c r="O16" s="400"/>
      <c r="P16" s="422"/>
      <c r="Q16" s="422"/>
      <c r="R16" s="423"/>
      <c r="S16" s="411"/>
      <c r="T16" s="422"/>
      <c r="U16" s="411" t="e">
        <f>DATEDIF(R16,#REF!,"Y")</f>
        <v>#REF!</v>
      </c>
      <c r="V16" s="412" t="e">
        <f>DATEDIF(G16,#REF!,"MD")</f>
        <v>#REF!</v>
      </c>
      <c r="W16" s="412" t="e">
        <f>DATEDIF(G16,#REF!,"YM")</f>
        <v>#REF!</v>
      </c>
      <c r="X16" s="412" t="e">
        <f>DATEDIF(G16,#REF!,"Y")</f>
        <v>#REF!</v>
      </c>
      <c r="Y16" s="422" t="s">
        <v>98</v>
      </c>
      <c r="Z16" s="422" t="s">
        <v>98</v>
      </c>
      <c r="AA16" s="422"/>
      <c r="AB16" s="422"/>
      <c r="AC16" s="400" t="s">
        <v>348</v>
      </c>
      <c r="AD16" s="414">
        <v>45779</v>
      </c>
      <c r="AE16" s="428" t="s">
        <v>348</v>
      </c>
      <c r="AF16" s="414">
        <v>45690</v>
      </c>
      <c r="AG16" s="428"/>
      <c r="AH16" s="400"/>
      <c r="AI16" s="422"/>
      <c r="AJ16" s="400"/>
      <c r="AK16" s="400"/>
      <c r="AL16" s="416" t="s">
        <v>357</v>
      </c>
      <c r="AM16" s="425">
        <v>44957</v>
      </c>
      <c r="AN16" s="426">
        <f>+AM16+365</f>
        <v>45322</v>
      </c>
    </row>
    <row r="17" spans="1:41" s="12" customFormat="1" ht="14.25" customHeight="1" thickTop="1" x14ac:dyDescent="0.35">
      <c r="A17" s="247"/>
      <c r="B17" s="437">
        <v>168</v>
      </c>
      <c r="C17" s="255" t="s">
        <v>506</v>
      </c>
      <c r="D17" s="320" t="s">
        <v>507</v>
      </c>
      <c r="E17" s="247" t="s">
        <v>100</v>
      </c>
      <c r="F17" s="320" t="s">
        <v>564</v>
      </c>
      <c r="G17" s="301">
        <v>43617</v>
      </c>
      <c r="H17" s="245" t="e">
        <f>DATEDIF(G17,#REF!,"Y")</f>
        <v>#REF!</v>
      </c>
      <c r="I17" s="246"/>
      <c r="J17" s="260" t="s">
        <v>395</v>
      </c>
      <c r="K17" s="248" t="s">
        <v>396</v>
      </c>
      <c r="L17" s="247" t="s">
        <v>410</v>
      </c>
      <c r="M17" s="305" t="s">
        <v>398</v>
      </c>
      <c r="N17" s="305" t="s">
        <v>508</v>
      </c>
      <c r="O17" s="247">
        <v>8300</v>
      </c>
      <c r="P17" s="305" t="s">
        <v>5</v>
      </c>
      <c r="Q17" s="305" t="s">
        <v>5</v>
      </c>
      <c r="R17" s="322">
        <v>32815</v>
      </c>
      <c r="S17" s="243">
        <v>2995521479</v>
      </c>
      <c r="T17" s="305"/>
      <c r="U17" s="233" t="e">
        <f>DATEDIF(R17,#REF!,"Y")</f>
        <v>#REF!</v>
      </c>
      <c r="V17" s="251" t="e">
        <f>DATEDIF(G17,#REF!,"MD")</f>
        <v>#REF!</v>
      </c>
      <c r="W17" s="251" t="e">
        <f>DATEDIF(G17,#REF!,"YM")</f>
        <v>#REF!</v>
      </c>
      <c r="X17" s="251" t="e">
        <f>DATEDIF(G17,#REF!,"Y")</f>
        <v>#REF!</v>
      </c>
      <c r="Y17" s="248" t="s">
        <v>396</v>
      </c>
      <c r="Z17" s="248" t="s">
        <v>396</v>
      </c>
      <c r="AA17" s="305" t="s">
        <v>495</v>
      </c>
      <c r="AB17" s="305"/>
      <c r="AC17" s="345"/>
      <c r="AD17" s="264"/>
      <c r="AE17" s="253"/>
      <c r="AF17" s="264"/>
      <c r="AG17" s="345"/>
      <c r="AH17" s="247"/>
      <c r="AI17" s="305"/>
      <c r="AJ17" s="247"/>
      <c r="AK17" s="247"/>
      <c r="AL17" s="324"/>
      <c r="AM17" s="262"/>
      <c r="AN17" s="311"/>
    </row>
    <row r="18" spans="1:41" s="12" customFormat="1" ht="15" customHeight="1" thickBot="1" x14ac:dyDescent="0.4">
      <c r="A18" s="354">
        <v>45170</v>
      </c>
      <c r="B18" s="437">
        <v>252</v>
      </c>
      <c r="C18" s="324" t="s">
        <v>817</v>
      </c>
      <c r="D18" s="324" t="s">
        <v>818</v>
      </c>
      <c r="E18" s="247" t="s">
        <v>100</v>
      </c>
      <c r="F18" s="324" t="s">
        <v>668</v>
      </c>
      <c r="G18" s="301">
        <v>45108</v>
      </c>
      <c r="H18" s="247" t="e">
        <f>DATEDIF(G18,#REF!,"Y")</f>
        <v>#REF!</v>
      </c>
      <c r="I18" s="365" t="s">
        <v>358</v>
      </c>
      <c r="J18" s="247" t="s">
        <v>84</v>
      </c>
      <c r="K18" s="243" t="s">
        <v>24</v>
      </c>
      <c r="L18" s="247" t="s">
        <v>618</v>
      </c>
      <c r="M18" s="305" t="s">
        <v>618</v>
      </c>
      <c r="N18" s="305"/>
      <c r="O18" s="247">
        <v>8300</v>
      </c>
      <c r="P18" s="305" t="s">
        <v>5</v>
      </c>
      <c r="Q18" s="305" t="s">
        <v>5</v>
      </c>
      <c r="R18" s="322">
        <v>36032</v>
      </c>
      <c r="S18" s="243"/>
      <c r="T18" s="305"/>
      <c r="U18" s="243" t="e">
        <f>DATEDIF(R18,#REF!,"Y")</f>
        <v>#REF!</v>
      </c>
      <c r="V18" s="251" t="e">
        <f>DATEDIF(G18,#REF!,"MD")</f>
        <v>#REF!</v>
      </c>
      <c r="W18" s="251" t="e">
        <f>DATEDIF(G18,#REF!,"YM")</f>
        <v>#REF!</v>
      </c>
      <c r="X18" s="251" t="e">
        <f>DATEDIF(G18,#REF!,"Y")</f>
        <v>#REF!</v>
      </c>
      <c r="Y18" s="305" t="s">
        <v>24</v>
      </c>
      <c r="Z18" s="305" t="s">
        <v>24</v>
      </c>
      <c r="AA18" s="305"/>
      <c r="AB18" s="305"/>
      <c r="AC18" s="247"/>
      <c r="AD18" s="264"/>
      <c r="AE18" s="345"/>
      <c r="AF18" s="264"/>
      <c r="AG18" s="345"/>
      <c r="AH18" s="247"/>
      <c r="AI18" s="305"/>
      <c r="AJ18" s="247"/>
      <c r="AK18" s="247"/>
      <c r="AL18" s="324"/>
      <c r="AM18" s="262"/>
      <c r="AN18" s="346"/>
    </row>
    <row r="19" spans="1:41" s="12" customFormat="1" ht="15" customHeight="1" thickTop="1" x14ac:dyDescent="0.35">
      <c r="A19" s="354">
        <v>45189</v>
      </c>
      <c r="B19" s="437">
        <v>249</v>
      </c>
      <c r="C19" s="324" t="s">
        <v>803</v>
      </c>
      <c r="D19" s="324" t="s">
        <v>804</v>
      </c>
      <c r="E19" s="247" t="s">
        <v>100</v>
      </c>
      <c r="F19" s="324" t="s">
        <v>668</v>
      </c>
      <c r="G19" s="301">
        <v>45000</v>
      </c>
      <c r="H19" s="247" t="e">
        <f>DATEDIF(G19,#REF!,"Y")</f>
        <v>#REF!</v>
      </c>
      <c r="I19" s="365"/>
      <c r="J19" s="247" t="s">
        <v>84</v>
      </c>
      <c r="K19" s="243" t="s">
        <v>24</v>
      </c>
      <c r="L19" s="247" t="s">
        <v>805</v>
      </c>
      <c r="M19" s="305" t="s">
        <v>805</v>
      </c>
      <c r="N19" s="305"/>
      <c r="O19" s="247">
        <v>8300</v>
      </c>
      <c r="P19" s="305"/>
      <c r="Q19" s="305"/>
      <c r="R19" s="322"/>
      <c r="S19" s="243"/>
      <c r="T19" s="305"/>
      <c r="U19" s="233" t="e">
        <f>DATEDIF(R19,#REF!,"Y")</f>
        <v>#REF!</v>
      </c>
      <c r="V19" s="251" t="e">
        <f>DATEDIF(G19,#REF!,"MD")</f>
        <v>#REF!</v>
      </c>
      <c r="W19" s="251" t="e">
        <f>DATEDIF(G19,#REF!,"YM")</f>
        <v>#REF!</v>
      </c>
      <c r="X19" s="251" t="e">
        <f>DATEDIF(G19,#REF!,"Y")</f>
        <v>#REF!</v>
      </c>
      <c r="Y19" s="305" t="s">
        <v>24</v>
      </c>
      <c r="Z19" s="305" t="s">
        <v>24</v>
      </c>
      <c r="AA19" s="305"/>
      <c r="AB19" s="305"/>
      <c r="AC19" s="247"/>
      <c r="AD19" s="264"/>
      <c r="AE19" s="345"/>
      <c r="AF19" s="264"/>
      <c r="AG19" s="345"/>
      <c r="AH19" s="247"/>
      <c r="AI19" s="305"/>
      <c r="AJ19" s="247"/>
      <c r="AK19" s="247"/>
      <c r="AL19" s="324"/>
      <c r="AM19" s="262"/>
      <c r="AN19" s="346"/>
    </row>
    <row r="20" spans="1:41" s="12" customFormat="1" ht="15" customHeight="1" x14ac:dyDescent="0.35">
      <c r="A20" s="354">
        <v>45219</v>
      </c>
      <c r="B20" s="437">
        <v>253</v>
      </c>
      <c r="C20" s="324" t="s">
        <v>819</v>
      </c>
      <c r="D20" s="324" t="s">
        <v>820</v>
      </c>
      <c r="E20" s="247" t="s">
        <v>100</v>
      </c>
      <c r="F20" s="324" t="s">
        <v>668</v>
      </c>
      <c r="G20" s="301">
        <v>45108</v>
      </c>
      <c r="H20" s="247" t="e">
        <f>DATEDIF(G20,#REF!,"Y")</f>
        <v>#REF!</v>
      </c>
      <c r="I20" s="365" t="s">
        <v>666</v>
      </c>
      <c r="J20" s="247" t="s">
        <v>84</v>
      </c>
      <c r="K20" s="243" t="s">
        <v>24</v>
      </c>
      <c r="L20" s="247" t="s">
        <v>754</v>
      </c>
      <c r="M20" s="305" t="s">
        <v>754</v>
      </c>
      <c r="N20" s="305"/>
      <c r="O20" s="247">
        <v>8300</v>
      </c>
      <c r="P20" s="305" t="s">
        <v>5</v>
      </c>
      <c r="Q20" s="305" t="s">
        <v>5</v>
      </c>
      <c r="R20" s="322">
        <v>31326</v>
      </c>
      <c r="S20" s="243"/>
      <c r="T20" s="305"/>
      <c r="U20" s="243" t="e">
        <f>DATEDIF(R20,#REF!,"Y")</f>
        <v>#REF!</v>
      </c>
      <c r="V20" s="251" t="e">
        <f>DATEDIF(G20,#REF!,"MD")</f>
        <v>#REF!</v>
      </c>
      <c r="W20" s="251" t="e">
        <f>DATEDIF(G20,#REF!,"YM")</f>
        <v>#REF!</v>
      </c>
      <c r="X20" s="251" t="e">
        <f>DATEDIF(G20,#REF!,"Y")</f>
        <v>#REF!</v>
      </c>
      <c r="Y20" s="305" t="s">
        <v>24</v>
      </c>
      <c r="Z20" s="305" t="s">
        <v>24</v>
      </c>
      <c r="AA20" s="305"/>
      <c r="AB20" s="305"/>
      <c r="AC20" s="247"/>
      <c r="AD20" s="264"/>
      <c r="AE20" s="345"/>
      <c r="AF20" s="264"/>
      <c r="AG20" s="345"/>
      <c r="AH20" s="247"/>
      <c r="AI20" s="305"/>
      <c r="AJ20" s="247"/>
      <c r="AK20" s="247"/>
      <c r="AL20" s="324"/>
      <c r="AM20" s="262"/>
      <c r="AN20" s="346"/>
    </row>
    <row r="21" spans="1:41" s="12" customFormat="1" ht="15" customHeight="1" x14ac:dyDescent="0.35">
      <c r="A21" s="354">
        <v>45217</v>
      </c>
      <c r="B21" s="258">
        <v>251</v>
      </c>
      <c r="C21" s="324" t="s">
        <v>808</v>
      </c>
      <c r="D21" s="324" t="s">
        <v>809</v>
      </c>
      <c r="E21" s="247" t="s">
        <v>100</v>
      </c>
      <c r="F21" s="324" t="s">
        <v>668</v>
      </c>
      <c r="G21" s="301">
        <v>45042</v>
      </c>
      <c r="H21" s="247">
        <v>0</v>
      </c>
      <c r="I21" s="365"/>
      <c r="J21" s="247" t="s">
        <v>84</v>
      </c>
      <c r="K21" s="243" t="s">
        <v>24</v>
      </c>
      <c r="L21" s="247" t="s">
        <v>754</v>
      </c>
      <c r="M21" s="305" t="s">
        <v>754</v>
      </c>
      <c r="N21" s="305"/>
      <c r="O21" s="247">
        <v>8300</v>
      </c>
      <c r="P21" s="305"/>
      <c r="Q21" s="305"/>
      <c r="R21" s="322"/>
      <c r="S21" s="243"/>
      <c r="T21" s="305"/>
      <c r="U21" s="243" t="e">
        <f>DATEDIF(R21,#REF!,"Y")</f>
        <v>#REF!</v>
      </c>
      <c r="V21" s="251" t="e">
        <f>DATEDIF(G21,#REF!,"MD")</f>
        <v>#REF!</v>
      </c>
      <c r="W21" s="251" t="e">
        <f>DATEDIF(G21,#REF!,"YM")</f>
        <v>#REF!</v>
      </c>
      <c r="X21" s="251" t="e">
        <f>DATEDIF(G21,#REF!,"Y")</f>
        <v>#REF!</v>
      </c>
      <c r="Y21" s="305" t="s">
        <v>24</v>
      </c>
      <c r="Z21" s="305" t="s">
        <v>24</v>
      </c>
      <c r="AA21" s="305"/>
      <c r="AB21" s="305"/>
      <c r="AC21" s="247"/>
      <c r="AD21" s="264"/>
      <c r="AE21" s="345"/>
      <c r="AF21" s="264"/>
      <c r="AG21" s="345"/>
      <c r="AH21" s="247"/>
      <c r="AI21" s="305"/>
      <c r="AJ21" s="247"/>
      <c r="AK21" s="247"/>
      <c r="AL21" s="324"/>
      <c r="AM21" s="262"/>
      <c r="AN21" s="346"/>
    </row>
    <row r="22" spans="1:41" s="12" customFormat="1" ht="15" customHeight="1" x14ac:dyDescent="0.35">
      <c r="A22" s="354">
        <v>45241</v>
      </c>
      <c r="B22" s="258">
        <v>256</v>
      </c>
      <c r="C22" s="324" t="s">
        <v>826</v>
      </c>
      <c r="D22" s="303">
        <v>44825434</v>
      </c>
      <c r="E22" s="324" t="s">
        <v>100</v>
      </c>
      <c r="F22" s="324" t="s">
        <v>668</v>
      </c>
      <c r="G22" s="301">
        <v>45162</v>
      </c>
      <c r="H22" s="247" t="e">
        <f>DATEDIF(G22,#REF!,"Y")</f>
        <v>#REF!</v>
      </c>
      <c r="I22" s="365" t="s">
        <v>666</v>
      </c>
      <c r="J22" s="247" t="s">
        <v>84</v>
      </c>
      <c r="K22" s="243" t="s">
        <v>24</v>
      </c>
      <c r="L22" s="247" t="s">
        <v>618</v>
      </c>
      <c r="M22" s="305" t="s">
        <v>618</v>
      </c>
      <c r="N22" s="305"/>
      <c r="O22" s="247">
        <v>8316</v>
      </c>
      <c r="P22" s="305"/>
      <c r="Q22" s="305"/>
      <c r="R22" s="322"/>
      <c r="S22" s="243"/>
      <c r="T22" s="305"/>
      <c r="U22" s="243"/>
      <c r="V22" s="251"/>
      <c r="W22" s="251"/>
      <c r="X22" s="251"/>
      <c r="Y22" s="305"/>
      <c r="Z22" s="305"/>
      <c r="AA22" s="305"/>
      <c r="AB22" s="305"/>
      <c r="AC22" s="247"/>
      <c r="AD22" s="264"/>
      <c r="AE22" s="345"/>
      <c r="AF22" s="264"/>
      <c r="AG22" s="345"/>
      <c r="AH22" s="264"/>
      <c r="AI22" s="305"/>
      <c r="AJ22" s="247"/>
      <c r="AK22" s="440"/>
      <c r="AL22" s="247"/>
      <c r="AM22" s="359" t="s">
        <v>357</v>
      </c>
      <c r="AN22" s="262"/>
      <c r="AO22" s="346"/>
    </row>
    <row r="23" spans="1:41" s="12" customFormat="1" ht="15" customHeight="1" thickBot="1" x14ac:dyDescent="0.4">
      <c r="A23" s="354">
        <v>45260</v>
      </c>
      <c r="B23" s="258">
        <v>193</v>
      </c>
      <c r="C23" s="255" t="s">
        <v>617</v>
      </c>
      <c r="D23" s="303">
        <v>35968267</v>
      </c>
      <c r="E23" s="259" t="s">
        <v>313</v>
      </c>
      <c r="F23" s="259" t="s">
        <v>668</v>
      </c>
      <c r="G23" s="301">
        <v>44174</v>
      </c>
      <c r="H23" s="245" t="e">
        <f>DATEDIF(G23,#REF!,"Y")</f>
        <v>#REF!</v>
      </c>
      <c r="I23" s="246"/>
      <c r="J23" s="260" t="s">
        <v>84</v>
      </c>
      <c r="K23" s="248" t="s">
        <v>24</v>
      </c>
      <c r="L23" s="249" t="s">
        <v>618</v>
      </c>
      <c r="M23" s="250" t="s">
        <v>618</v>
      </c>
      <c r="N23" s="250" t="s">
        <v>619</v>
      </c>
      <c r="O23" s="249">
        <v>8316</v>
      </c>
      <c r="P23" s="250" t="s">
        <v>4</v>
      </c>
      <c r="Q23" s="250" t="s">
        <v>5</v>
      </c>
      <c r="R23" s="248">
        <v>33294</v>
      </c>
      <c r="S23" s="250">
        <v>2995971511</v>
      </c>
      <c r="T23" s="243"/>
      <c r="U23" s="243" t="e">
        <f>DATEDIF(R23,#REF!,"Y")</f>
        <v>#REF!</v>
      </c>
      <c r="V23" s="251" t="e">
        <f>DATEDIF(G23,#REF!,"MD")</f>
        <v>#REF!</v>
      </c>
      <c r="W23" s="251" t="e">
        <f>DATEDIF(G23,#REF!,"YM")</f>
        <v>#REF!</v>
      </c>
      <c r="X23" s="251" t="e">
        <f>DATEDIF(G23,#REF!,"Y")</f>
        <v>#REF!</v>
      </c>
      <c r="Y23" s="248" t="s">
        <v>24</v>
      </c>
      <c r="Z23" s="248" t="s">
        <v>24</v>
      </c>
      <c r="AA23" s="250" t="s">
        <v>216</v>
      </c>
      <c r="AB23" s="250"/>
      <c r="AC23" s="253"/>
      <c r="AD23" s="264"/>
      <c r="AE23" s="253"/>
      <c r="AF23" s="264"/>
      <c r="AG23" s="253"/>
      <c r="AH23" s="249"/>
      <c r="AI23" s="254"/>
      <c r="AJ23" s="435"/>
      <c r="AK23" s="439"/>
      <c r="AL23" s="305"/>
      <c r="AM23" s="359"/>
      <c r="AN23" s="256"/>
      <c r="AO23" s="313"/>
    </row>
    <row r="24" spans="1:41" s="419" customFormat="1" ht="15" customHeight="1" thickTop="1" x14ac:dyDescent="0.35">
      <c r="A24" s="400">
        <v>14</v>
      </c>
      <c r="B24" s="401">
        <v>142</v>
      </c>
      <c r="C24" s="402" t="s">
        <v>546</v>
      </c>
      <c r="D24" s="434">
        <v>27786364</v>
      </c>
      <c r="E24" s="451">
        <v>20277863643</v>
      </c>
      <c r="F24" s="451" t="s">
        <v>562</v>
      </c>
      <c r="G24" s="404">
        <v>43717</v>
      </c>
      <c r="H24" s="405" t="e">
        <f>DATEDIF(G24,#REF!,"Y")</f>
        <v>#REF!</v>
      </c>
      <c r="I24" s="406" t="s">
        <v>383</v>
      </c>
      <c r="J24" s="407" t="s">
        <v>208</v>
      </c>
      <c r="K24" s="408" t="s">
        <v>25</v>
      </c>
      <c r="L24" s="409" t="s">
        <v>545</v>
      </c>
      <c r="M24" s="422" t="s">
        <v>70</v>
      </c>
      <c r="N24" s="410" t="s">
        <v>435</v>
      </c>
      <c r="O24" s="409">
        <v>8322</v>
      </c>
      <c r="P24" s="410" t="s">
        <v>381</v>
      </c>
      <c r="Q24" s="410" t="s">
        <v>5</v>
      </c>
      <c r="R24" s="408">
        <v>29332</v>
      </c>
      <c r="S24" s="410">
        <v>2995945732</v>
      </c>
      <c r="T24" s="411"/>
      <c r="U24" s="430" t="e">
        <f>DATEDIF(R24,#REF!,"Y")</f>
        <v>#REF!</v>
      </c>
      <c r="V24" s="412" t="e">
        <f>DATEDIF(G24,#REF!,"MD")</f>
        <v>#REF!</v>
      </c>
      <c r="W24" s="412" t="e">
        <f>DATEDIF(G24,#REF!,"YM")</f>
        <v>#REF!</v>
      </c>
      <c r="X24" s="412" t="e">
        <f>DATEDIF(G24,#REF!,"Y")</f>
        <v>#REF!</v>
      </c>
      <c r="Y24" s="410" t="s">
        <v>98</v>
      </c>
      <c r="Z24" s="410" t="s">
        <v>98</v>
      </c>
      <c r="AA24" s="410" t="s">
        <v>216</v>
      </c>
      <c r="AB24" s="410"/>
      <c r="AC24" s="413" t="s">
        <v>348</v>
      </c>
      <c r="AD24" s="414">
        <v>46878</v>
      </c>
      <c r="AE24" s="413" t="s">
        <v>348</v>
      </c>
      <c r="AF24" s="414">
        <v>45576</v>
      </c>
      <c r="AG24" s="413" t="s">
        <v>102</v>
      </c>
      <c r="AH24" s="414">
        <v>45185</v>
      </c>
      <c r="AI24" s="415" t="s">
        <v>780</v>
      </c>
      <c r="AJ24" s="449"/>
      <c r="AK24" s="452"/>
      <c r="AL24" s="422"/>
      <c r="AM24" s="453" t="s">
        <v>355</v>
      </c>
      <c r="AN24" s="417">
        <v>44924</v>
      </c>
      <c r="AO24" s="432">
        <f>AN24+365</f>
        <v>45289</v>
      </c>
    </row>
    <row r="25" spans="1:41" s="12" customFormat="1" ht="15" customHeight="1" x14ac:dyDescent="0.35">
      <c r="A25" s="247">
        <v>39</v>
      </c>
      <c r="B25" s="258">
        <v>261</v>
      </c>
      <c r="C25" s="324" t="s">
        <v>836</v>
      </c>
      <c r="D25" s="303">
        <v>31955776</v>
      </c>
      <c r="E25" s="324" t="s">
        <v>837</v>
      </c>
      <c r="F25" s="324" t="s">
        <v>668</v>
      </c>
      <c r="G25" s="301">
        <v>45252</v>
      </c>
      <c r="H25" s="247" t="e">
        <f>DATEDIF(G25,#REF!,"Y")</f>
        <v>#REF!</v>
      </c>
      <c r="I25" s="365" t="s">
        <v>666</v>
      </c>
      <c r="J25" s="247" t="s">
        <v>84</v>
      </c>
      <c r="K25" s="243" t="s">
        <v>24</v>
      </c>
      <c r="L25" s="247" t="s">
        <v>754</v>
      </c>
      <c r="M25" s="305" t="s">
        <v>754</v>
      </c>
      <c r="N25" s="305"/>
      <c r="O25" s="247"/>
      <c r="P25" s="305"/>
      <c r="Q25" s="305"/>
      <c r="R25" s="322"/>
      <c r="S25" s="243"/>
      <c r="T25" s="305"/>
      <c r="U25" s="243"/>
      <c r="V25" s="251" t="e">
        <f>DATEDIF(G25,#REF!,"MD")</f>
        <v>#REF!</v>
      </c>
      <c r="W25" s="251" t="e">
        <f>DATEDIF(G25,#REF!,"YM")</f>
        <v>#REF!</v>
      </c>
      <c r="X25" s="251" t="e">
        <f>DATEDIF(G25,#REF!,"Y")</f>
        <v>#REF!</v>
      </c>
      <c r="Y25" s="305"/>
      <c r="Z25" s="305"/>
      <c r="AA25" s="305"/>
      <c r="AB25" s="305"/>
      <c r="AC25" s="247"/>
      <c r="AD25" s="264"/>
      <c r="AE25" s="345"/>
      <c r="AF25" s="264"/>
      <c r="AG25" s="345"/>
      <c r="AH25" s="264"/>
      <c r="AI25" s="305"/>
      <c r="AJ25" s="247"/>
      <c r="AK25" s="440"/>
      <c r="AL25" s="247"/>
      <c r="AM25" s="359"/>
      <c r="AN25" s="262"/>
      <c r="AO25" s="346"/>
    </row>
  </sheetData>
  <mergeCells count="23">
    <mergeCell ref="S1:S2"/>
    <mergeCell ref="T1:V1"/>
    <mergeCell ref="W1:W2"/>
    <mergeCell ref="X1:X2"/>
    <mergeCell ref="Y1:Y2"/>
    <mergeCell ref="R1:R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F1:F2"/>
    <mergeCell ref="A1:A2"/>
    <mergeCell ref="B1:B2"/>
    <mergeCell ref="C1:C2"/>
    <mergeCell ref="D1:D2"/>
    <mergeCell ref="E1:E2"/>
  </mergeCells>
  <hyperlinks>
    <hyperlink ref="AD12" r:id="rId1" display="01) RRHH\SANCHEZ JOSE SEBASTIAN\Licencia VTO 11-04-2026.pdf" xr:uid="{00000000-0004-0000-0300-000000000000}"/>
    <hyperlink ref="AK12" r:id="rId2" display="01) RRHH\SANCHEZ JOSE SEBASTIAN\Ex. Periodico VTO 15-01-2022.pdf" xr:uid="{00000000-0004-0000-0300-000001000000}"/>
    <hyperlink ref="AF12" r:id="rId3" display="01) RRHH\SANCHEZ JOSE SEBASTIAN\MD VTO 25-11-2021.pdf" xr:uid="{00000000-0004-0000-0300-000002000000}"/>
    <hyperlink ref="AK13" r:id="rId4" display="01) RRHH\VELASQUEZ FRANCO MIGUEL\Ex. Periodico VTO 18-01-2024.pdf" xr:uid="{00000000-0004-0000-0300-000003000000}"/>
    <hyperlink ref="AD13" r:id="rId5" display="01) RRHH\VELASQUEZ FRANCO MIGUEL\LIC. CONDUCIR Vto.29-10-2025.pdf" xr:uid="{00000000-0004-0000-0300-000004000000}"/>
    <hyperlink ref="AF13" r:id="rId6" display="01) RRHH\VELASQUEZ FRANCO MIGUEL\MD Vto 07-02-2024.pdf" xr:uid="{00000000-0004-0000-0300-000005000000}"/>
    <hyperlink ref="AD14" r:id="rId7" display="01) RRHH\SOLARES PAULO\Licencia de conducir Vto. 11-11-2023.pdf" xr:uid="{00000000-0004-0000-0300-000006000000}"/>
    <hyperlink ref="AF14" r:id="rId8" display="01) RRHH\SOLARES PAULO\MD VTO 24-01-2025.pdf" xr:uid="{00000000-0004-0000-0300-000007000000}"/>
    <hyperlink ref="AM14" r:id="rId9" display="01) RRHH\SOLARES PAULO\Ex. Periodico Vto 05-04-2024.pdf" xr:uid="{00000000-0004-0000-0300-000008000000}"/>
    <hyperlink ref="AJ14" r:id="rId10" display="01) RRHH\SOLARES PAULO\Carnet eslingador y señalero VTO 29-10-2023.pdf" xr:uid="{00000000-0004-0000-0300-000009000000}"/>
    <hyperlink ref="AD15" r:id="rId11" display="01) RRHH\FLORES, Jose Luis\Licencia de conducir VTO 19-09-2024.pdf" xr:uid="{00000000-0004-0000-0300-00000A000000}"/>
    <hyperlink ref="AM15" r:id="rId12" display="01) RRHH\FLORES, Jose Luis\Ex,Periodico VTO 06-02-2024.pdf" xr:uid="{00000000-0004-0000-0300-00000B000000}"/>
    <hyperlink ref="AF15" r:id="rId13" display="01) RRHH\FLORES, Jose Luis\MD Vto 03-03-2025.pdf" xr:uid="{00000000-0004-0000-0300-00000C000000}"/>
    <hyperlink ref="AM16" r:id="rId14" display="01) RRHH\MESA VITALE ESTEBAN\Preocupacional VTO 31-1-2024.pdf" xr:uid="{00000000-0004-0000-0300-00000D000000}"/>
    <hyperlink ref="AF16" r:id="rId15" display="01) RRHH\MESA VITALE ESTEBAN\MD VTO 02-02-2025.pdf" xr:uid="{00000000-0004-0000-0300-00000E000000}"/>
    <hyperlink ref="AD16" r:id="rId16" display="01) RRHH\MESA VITALE ESTEBAN\LIC VTO 2-5-25.pdf" xr:uid="{00000000-0004-0000-0300-00000F000000}"/>
  </hyperlinks>
  <pageMargins left="0.7" right="0.7" top="0.75" bottom="0.75" header="0.3" footer="0.3"/>
  <pageSetup paperSize="9" orientation="portrait" verticalDpi="0" r:id="rId1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34"/>
  <sheetViews>
    <sheetView workbookViewId="0">
      <selection activeCell="D38" sqref="D38"/>
    </sheetView>
  </sheetViews>
  <sheetFormatPr baseColWidth="10" defaultRowHeight="15.5" x14ac:dyDescent="0.35"/>
  <cols>
    <col min="1" max="1" width="8.3046875" customWidth="1"/>
    <col min="3" max="3" width="20.07421875" customWidth="1"/>
    <col min="10" max="10" width="12.4609375" customWidth="1"/>
    <col min="11" max="11" width="13.4609375" customWidth="1"/>
  </cols>
  <sheetData>
    <row r="1" spans="1:37" ht="16" thickBot="1" x14ac:dyDescent="0.4">
      <c r="A1" s="502" t="s">
        <v>93</v>
      </c>
      <c r="B1" s="502" t="s">
        <v>10</v>
      </c>
      <c r="C1" s="502" t="s">
        <v>6</v>
      </c>
      <c r="D1" s="502" t="s">
        <v>0</v>
      </c>
      <c r="E1" s="502" t="s">
        <v>103</v>
      </c>
      <c r="F1" s="502" t="s">
        <v>112</v>
      </c>
      <c r="G1" s="502" t="s">
        <v>192</v>
      </c>
      <c r="H1" s="502" t="s">
        <v>185</v>
      </c>
      <c r="I1" s="502" t="s">
        <v>176</v>
      </c>
      <c r="J1" s="502" t="s">
        <v>186</v>
      </c>
      <c r="K1" s="502" t="s">
        <v>8</v>
      </c>
      <c r="L1" s="502" t="s">
        <v>1</v>
      </c>
      <c r="M1" s="502" t="s">
        <v>177</v>
      </c>
      <c r="N1" s="502" t="s">
        <v>178</v>
      </c>
      <c r="O1" s="502" t="s">
        <v>191</v>
      </c>
      <c r="P1" s="502" t="s">
        <v>190</v>
      </c>
      <c r="Q1" s="502" t="s">
        <v>179</v>
      </c>
      <c r="R1" s="502" t="s">
        <v>180</v>
      </c>
      <c r="S1" s="502" t="s">
        <v>181</v>
      </c>
      <c r="T1" s="502" t="s">
        <v>182</v>
      </c>
      <c r="U1" s="502"/>
      <c r="V1" s="502"/>
      <c r="W1" s="502" t="s">
        <v>22</v>
      </c>
      <c r="X1" s="502" t="s">
        <v>23</v>
      </c>
      <c r="Y1" s="502" t="s">
        <v>9</v>
      </c>
    </row>
    <row r="2" spans="1:37" x14ac:dyDescent="0.35">
      <c r="A2" s="503"/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503"/>
      <c r="M2" s="503"/>
      <c r="N2" s="503"/>
      <c r="O2" s="503"/>
      <c r="P2" s="503"/>
      <c r="Q2" s="503"/>
      <c r="R2" s="503"/>
      <c r="S2" s="503"/>
      <c r="T2" s="353" t="s">
        <v>187</v>
      </c>
      <c r="U2" s="353" t="s">
        <v>188</v>
      </c>
      <c r="V2" s="353" t="s">
        <v>189</v>
      </c>
      <c r="W2" s="503"/>
      <c r="X2" s="503"/>
      <c r="Y2" s="503"/>
    </row>
    <row r="6" spans="1:37" s="419" customFormat="1" ht="15" customHeight="1" x14ac:dyDescent="0.35">
      <c r="A6" s="400">
        <v>41</v>
      </c>
      <c r="B6" s="401">
        <v>200</v>
      </c>
      <c r="C6" s="402" t="s">
        <v>634</v>
      </c>
      <c r="D6" s="403" t="s">
        <v>635</v>
      </c>
      <c r="E6" s="403" t="s">
        <v>313</v>
      </c>
      <c r="F6" s="404">
        <v>44250</v>
      </c>
      <c r="G6" s="405" t="e">
        <f>DATEDIF(F6,#REF!,"Y")</f>
        <v>#REF!</v>
      </c>
      <c r="H6" s="406"/>
      <c r="I6" s="407" t="s">
        <v>84</v>
      </c>
      <c r="J6" s="408" t="s">
        <v>24</v>
      </c>
      <c r="K6" s="409" t="s">
        <v>614</v>
      </c>
      <c r="L6" s="410" t="s">
        <v>636</v>
      </c>
      <c r="M6" s="410" t="s">
        <v>641</v>
      </c>
      <c r="N6" s="409">
        <v>8300</v>
      </c>
      <c r="O6" s="410" t="s">
        <v>5</v>
      </c>
      <c r="P6" s="410" t="s">
        <v>5</v>
      </c>
      <c r="Q6" s="408">
        <v>32767</v>
      </c>
      <c r="R6" s="410" t="s">
        <v>674</v>
      </c>
      <c r="S6" s="411"/>
      <c r="T6" s="411" t="e">
        <f>DATEDIF(Q6,#REF!,"Y")</f>
        <v>#REF!</v>
      </c>
      <c r="U6" s="412" t="e">
        <f>DATEDIF(F6,#REF!,"MD")</f>
        <v>#REF!</v>
      </c>
      <c r="V6" s="412" t="e">
        <f>DATEDIF(F6,#REF!,"YM")</f>
        <v>#REF!</v>
      </c>
      <c r="W6" s="412" t="e">
        <f>DATEDIF(F6,#REF!,"Y")</f>
        <v>#REF!</v>
      </c>
      <c r="X6" s="408" t="s">
        <v>24</v>
      </c>
      <c r="Y6" s="408" t="s">
        <v>24</v>
      </c>
      <c r="Z6" s="410"/>
      <c r="AA6" s="410"/>
      <c r="AB6" s="413"/>
      <c r="AC6" s="414"/>
      <c r="AD6" s="413"/>
      <c r="AE6" s="414"/>
      <c r="AF6" s="409"/>
      <c r="AG6" s="410"/>
      <c r="AH6" s="415"/>
      <c r="AI6" s="416"/>
      <c r="AJ6" s="417"/>
      <c r="AK6" s="418"/>
    </row>
    <row r="7" spans="1:37" s="12" customFormat="1" ht="15" customHeight="1" x14ac:dyDescent="0.35">
      <c r="A7" s="247">
        <v>47</v>
      </c>
      <c r="B7" s="258">
        <v>212</v>
      </c>
      <c r="C7" s="324" t="s">
        <v>686</v>
      </c>
      <c r="D7" s="324" t="s">
        <v>687</v>
      </c>
      <c r="E7" s="324" t="s">
        <v>100</v>
      </c>
      <c r="F7" s="301">
        <v>44410</v>
      </c>
      <c r="G7" s="247" t="e">
        <f>DATEDIF(F7,#REF!,"Y")</f>
        <v>#REF!</v>
      </c>
      <c r="H7" s="365"/>
      <c r="I7" s="247" t="s">
        <v>207</v>
      </c>
      <c r="J7" s="248" t="s">
        <v>12</v>
      </c>
      <c r="K7" s="247"/>
      <c r="L7" s="305" t="s">
        <v>689</v>
      </c>
      <c r="M7" s="305" t="s">
        <v>688</v>
      </c>
      <c r="N7" s="247">
        <v>8300</v>
      </c>
      <c r="O7" s="305" t="s">
        <v>5</v>
      </c>
      <c r="P7" s="305" t="s">
        <v>5</v>
      </c>
      <c r="Q7" s="322">
        <v>26080</v>
      </c>
      <c r="R7" s="243">
        <v>2994587578</v>
      </c>
      <c r="S7" s="305"/>
      <c r="T7" s="243" t="e">
        <f>DATEDIF(Q7,#REF!,"Y")</f>
        <v>#REF!</v>
      </c>
      <c r="U7" s="251" t="e">
        <f>DATEDIF(F7,#REF!,"MD")</f>
        <v>#REF!</v>
      </c>
      <c r="V7" s="251" t="e">
        <f>DATEDIF(F7,#REF!,"YM")</f>
        <v>#REF!</v>
      </c>
      <c r="W7" s="251" t="e">
        <f>DATEDIF(F7,#REF!,"Y")</f>
        <v>#REF!</v>
      </c>
      <c r="X7" s="305" t="s">
        <v>683</v>
      </c>
      <c r="Y7" s="250" t="s">
        <v>225</v>
      </c>
      <c r="Z7" s="305"/>
      <c r="AA7" s="305"/>
      <c r="AB7" s="366" t="s">
        <v>367</v>
      </c>
      <c r="AC7" s="323">
        <v>45462</v>
      </c>
      <c r="AD7" s="366"/>
      <c r="AE7" s="323"/>
      <c r="AF7" s="305"/>
      <c r="AG7" s="305"/>
      <c r="AH7" s="305"/>
      <c r="AI7" s="324" t="s">
        <v>357</v>
      </c>
      <c r="AJ7" s="321">
        <v>44399</v>
      </c>
      <c r="AK7" s="346">
        <f>AJ7+365</f>
        <v>44764</v>
      </c>
    </row>
    <row r="8" spans="1:37" s="12" customFormat="1" ht="15" customHeight="1" x14ac:dyDescent="0.35">
      <c r="A8" s="247">
        <v>44</v>
      </c>
      <c r="B8" s="258">
        <v>214</v>
      </c>
      <c r="C8" s="324" t="s">
        <v>693</v>
      </c>
      <c r="D8" s="324" t="s">
        <v>694</v>
      </c>
      <c r="E8" s="324" t="s">
        <v>313</v>
      </c>
      <c r="F8" s="301">
        <v>44461</v>
      </c>
      <c r="G8" s="247" t="e">
        <f>DATEDIF(F8,#REF!,"Y")</f>
        <v>#REF!</v>
      </c>
      <c r="H8" s="365"/>
      <c r="I8" s="247" t="s">
        <v>395</v>
      </c>
      <c r="J8" s="243" t="s">
        <v>396</v>
      </c>
      <c r="K8" s="247" t="s">
        <v>695</v>
      </c>
      <c r="L8" s="305" t="s">
        <v>695</v>
      </c>
      <c r="M8" s="305" t="s">
        <v>696</v>
      </c>
      <c r="N8" s="247">
        <v>8316</v>
      </c>
      <c r="O8" s="305" t="s">
        <v>4</v>
      </c>
      <c r="P8" s="305" t="s">
        <v>5</v>
      </c>
      <c r="Q8" s="322">
        <v>31051</v>
      </c>
      <c r="R8" s="243">
        <v>2995480025</v>
      </c>
      <c r="S8" s="305"/>
      <c r="T8" s="243" t="e">
        <f>DATEDIF(Q8,#REF!,"Y")</f>
        <v>#REF!</v>
      </c>
      <c r="U8" s="251" t="e">
        <f>DATEDIF(F8,#REF!,"MD")</f>
        <v>#REF!</v>
      </c>
      <c r="V8" s="251" t="e">
        <f>DATEDIF(F8,#REF!,"YM")</f>
        <v>#REF!</v>
      </c>
      <c r="W8" s="251" t="e">
        <f>DATEDIF(F8,#REF!,"Y")</f>
        <v>#REF!</v>
      </c>
      <c r="X8" s="305" t="s">
        <v>396</v>
      </c>
      <c r="Y8" s="305" t="s">
        <v>396</v>
      </c>
      <c r="Z8" s="305"/>
      <c r="AA8" s="305"/>
      <c r="AB8" s="366"/>
      <c r="AC8" s="323"/>
      <c r="AD8" s="366"/>
      <c r="AE8" s="323"/>
      <c r="AF8" s="305"/>
      <c r="AG8" s="305"/>
      <c r="AH8" s="305"/>
      <c r="AI8" s="324"/>
      <c r="AJ8" s="321"/>
      <c r="AK8" s="346"/>
    </row>
    <row r="9" spans="1:37" s="419" customFormat="1" ht="15" customHeight="1" x14ac:dyDescent="0.35">
      <c r="A9" s="400">
        <v>38</v>
      </c>
      <c r="B9" s="401">
        <v>201</v>
      </c>
      <c r="C9" s="402" t="s">
        <v>637</v>
      </c>
      <c r="D9" s="403" t="s">
        <v>638</v>
      </c>
      <c r="E9" s="403" t="s">
        <v>100</v>
      </c>
      <c r="F9" s="404">
        <v>44252</v>
      </c>
      <c r="G9" s="405" t="e">
        <f>DATEDIF(F9,#REF!,"Y")</f>
        <v>#REF!</v>
      </c>
      <c r="H9" s="406"/>
      <c r="I9" s="407" t="s">
        <v>84</v>
      </c>
      <c r="J9" s="408" t="s">
        <v>24</v>
      </c>
      <c r="K9" s="409" t="s">
        <v>633</v>
      </c>
      <c r="L9" s="410" t="s">
        <v>639</v>
      </c>
      <c r="M9" s="410" t="s">
        <v>640</v>
      </c>
      <c r="N9" s="409">
        <v>8300</v>
      </c>
      <c r="O9" s="410" t="s">
        <v>5</v>
      </c>
      <c r="P9" s="410" t="s">
        <v>5</v>
      </c>
      <c r="Q9" s="408">
        <v>27650</v>
      </c>
      <c r="R9" s="410" t="s">
        <v>675</v>
      </c>
      <c r="S9" s="411"/>
      <c r="T9" s="411" t="e">
        <f>DATEDIF(Q9,#REF!,"Y")</f>
        <v>#REF!</v>
      </c>
      <c r="U9" s="412" t="e">
        <f>DATEDIF(F9,#REF!,"MD")</f>
        <v>#REF!</v>
      </c>
      <c r="V9" s="412" t="e">
        <f>DATEDIF(F9,#REF!,"YM")</f>
        <v>#REF!</v>
      </c>
      <c r="W9" s="412" t="e">
        <f>DATEDIF(F9,#REF!,"Y")</f>
        <v>#REF!</v>
      </c>
      <c r="X9" s="408" t="s">
        <v>24</v>
      </c>
      <c r="Y9" s="408" t="s">
        <v>24</v>
      </c>
      <c r="Z9" s="410"/>
      <c r="AA9" s="410"/>
      <c r="AB9" s="413"/>
      <c r="AC9" s="414"/>
      <c r="AD9" s="413"/>
      <c r="AE9" s="420"/>
      <c r="AF9" s="409"/>
      <c r="AG9" s="410"/>
      <c r="AH9" s="415"/>
      <c r="AI9" s="416"/>
      <c r="AJ9" s="417"/>
      <c r="AK9" s="418"/>
    </row>
    <row r="10" spans="1:37" s="12" customFormat="1" ht="15" customHeight="1" x14ac:dyDescent="0.35">
      <c r="A10" s="247">
        <v>39</v>
      </c>
      <c r="B10" s="258">
        <v>207</v>
      </c>
      <c r="C10" s="255" t="s">
        <v>669</v>
      </c>
      <c r="D10" s="259" t="s">
        <v>670</v>
      </c>
      <c r="E10" s="259" t="s">
        <v>313</v>
      </c>
      <c r="F10" s="301">
        <v>44291</v>
      </c>
      <c r="G10" s="245" t="e">
        <f>DATEDIF(F10,#REF!,"Y")</f>
        <v>#REF!</v>
      </c>
      <c r="H10" s="246"/>
      <c r="I10" s="260" t="s">
        <v>654</v>
      </c>
      <c r="J10" s="248"/>
      <c r="K10" s="249"/>
      <c r="L10" s="250"/>
      <c r="M10" s="250"/>
      <c r="N10" s="249">
        <v>8321</v>
      </c>
      <c r="O10" s="250" t="s">
        <v>659</v>
      </c>
      <c r="P10" s="250" t="s">
        <v>5</v>
      </c>
      <c r="Q10" s="248"/>
      <c r="R10" s="250"/>
      <c r="S10" s="243"/>
      <c r="T10" s="243"/>
      <c r="U10" s="251"/>
      <c r="V10" s="251"/>
      <c r="W10" s="251"/>
      <c r="X10" s="305"/>
      <c r="Y10" s="305"/>
      <c r="Z10" s="250"/>
      <c r="AA10" s="250"/>
      <c r="AB10" s="253"/>
      <c r="AC10" s="264"/>
      <c r="AD10" s="253"/>
      <c r="AE10" s="264"/>
      <c r="AF10" s="249"/>
      <c r="AG10" s="250"/>
      <c r="AH10" s="254"/>
      <c r="AI10" s="324"/>
      <c r="AJ10" s="256"/>
      <c r="AK10" s="313"/>
    </row>
    <row r="11" spans="1:37" s="12" customFormat="1" ht="15" customHeight="1" thickBot="1" x14ac:dyDescent="0.4">
      <c r="A11" s="247">
        <v>36</v>
      </c>
      <c r="B11" s="258">
        <v>198</v>
      </c>
      <c r="C11" s="255" t="s">
        <v>624</v>
      </c>
      <c r="D11" s="259" t="s">
        <v>627</v>
      </c>
      <c r="E11" s="259" t="s">
        <v>313</v>
      </c>
      <c r="F11" s="301">
        <v>44221</v>
      </c>
      <c r="G11" s="245" t="e">
        <f>DATEDIF(F11,#REF!,"Y")</f>
        <v>#REF!</v>
      </c>
      <c r="H11" s="246"/>
      <c r="I11" s="260" t="s">
        <v>207</v>
      </c>
      <c r="J11" s="248" t="s">
        <v>12</v>
      </c>
      <c r="K11" s="249" t="s">
        <v>239</v>
      </c>
      <c r="L11" s="250" t="s">
        <v>628</v>
      </c>
      <c r="M11" s="250" t="s">
        <v>644</v>
      </c>
      <c r="N11" s="249">
        <v>5196</v>
      </c>
      <c r="O11" s="250" t="s">
        <v>642</v>
      </c>
      <c r="P11" s="250" t="s">
        <v>643</v>
      </c>
      <c r="Q11" s="248">
        <v>29129</v>
      </c>
      <c r="R11" s="250">
        <v>2615014756</v>
      </c>
      <c r="S11" s="243"/>
      <c r="T11" s="243" t="e">
        <f>DATEDIF(Q11,#REF!,"Y")</f>
        <v>#REF!</v>
      </c>
      <c r="U11" s="251" t="e">
        <f>DATEDIF(F11,#REF!,"MD")</f>
        <v>#REF!</v>
      </c>
      <c r="V11" s="251" t="e">
        <f>DATEDIF(F11,#REF!,"YM")</f>
        <v>#REF!</v>
      </c>
      <c r="W11" s="251" t="e">
        <f>DATEDIF(F11,#REF!,"Y")</f>
        <v>#REF!</v>
      </c>
      <c r="X11" s="250" t="s">
        <v>225</v>
      </c>
      <c r="Y11" s="250" t="s">
        <v>225</v>
      </c>
      <c r="Z11" s="250" t="s">
        <v>31</v>
      </c>
      <c r="AA11" s="250"/>
      <c r="AB11" s="253" t="s">
        <v>348</v>
      </c>
      <c r="AC11" s="264">
        <v>45555</v>
      </c>
      <c r="AD11" s="253" t="s">
        <v>348</v>
      </c>
      <c r="AE11" s="264">
        <v>44940</v>
      </c>
      <c r="AF11" s="249"/>
      <c r="AG11" s="250"/>
      <c r="AH11" s="254"/>
      <c r="AI11" s="324" t="s">
        <v>357</v>
      </c>
      <c r="AJ11" s="256">
        <v>44194</v>
      </c>
      <c r="AK11" s="313">
        <f>AJ11+365</f>
        <v>44559</v>
      </c>
    </row>
    <row r="12" spans="1:37" s="12" customFormat="1" ht="15" customHeight="1" thickTop="1" x14ac:dyDescent="0.35">
      <c r="A12" s="247">
        <v>16</v>
      </c>
      <c r="B12" s="258">
        <v>138</v>
      </c>
      <c r="C12" s="255" t="s">
        <v>417</v>
      </c>
      <c r="D12" s="259" t="s">
        <v>418</v>
      </c>
      <c r="E12" s="259" t="s">
        <v>100</v>
      </c>
      <c r="F12" s="244">
        <v>43297</v>
      </c>
      <c r="G12" s="245" t="e">
        <f>DATEDIF(F12,#REF!,"Y")</f>
        <v>#REF!</v>
      </c>
      <c r="H12" s="246" t="s">
        <v>374</v>
      </c>
      <c r="I12" s="260" t="s">
        <v>207</v>
      </c>
      <c r="J12" s="248" t="s">
        <v>12</v>
      </c>
      <c r="K12" s="249" t="s">
        <v>239</v>
      </c>
      <c r="L12" s="250" t="s">
        <v>429</v>
      </c>
      <c r="M12" s="250" t="s">
        <v>419</v>
      </c>
      <c r="N12" s="249">
        <v>8322</v>
      </c>
      <c r="O12" s="250" t="s">
        <v>381</v>
      </c>
      <c r="P12" s="250" t="s">
        <v>5</v>
      </c>
      <c r="Q12" s="248">
        <v>26235</v>
      </c>
      <c r="R12" s="250" t="s">
        <v>420</v>
      </c>
      <c r="S12" s="243"/>
      <c r="T12" s="233" t="e">
        <f>DATEDIF(Q12,#REF!,"Y")</f>
        <v>#REF!</v>
      </c>
      <c r="U12" s="251" t="e">
        <f>DATEDIF(F12,#REF!,"MD")</f>
        <v>#REF!</v>
      </c>
      <c r="V12" s="251" t="e">
        <f>DATEDIF(F12,#REF!,"YM")</f>
        <v>#REF!</v>
      </c>
      <c r="W12" s="251" t="e">
        <f>DATEDIF(F12,#REF!,"Y")</f>
        <v>#REF!</v>
      </c>
      <c r="X12" s="250" t="s">
        <v>225</v>
      </c>
      <c r="Y12" s="250" t="s">
        <v>225</v>
      </c>
      <c r="Z12" s="250" t="s">
        <v>495</v>
      </c>
      <c r="AA12" s="250"/>
      <c r="AB12" s="253" t="s">
        <v>348</v>
      </c>
      <c r="AC12" s="264">
        <v>46131</v>
      </c>
      <c r="AD12" s="253" t="s">
        <v>348</v>
      </c>
      <c r="AE12" s="304">
        <v>44940</v>
      </c>
      <c r="AF12" s="253"/>
      <c r="AG12" s="250"/>
      <c r="AH12" s="254"/>
      <c r="AI12" s="255" t="s">
        <v>355</v>
      </c>
      <c r="AJ12" s="256">
        <v>44211</v>
      </c>
      <c r="AK12" s="311">
        <f>AJ12+365</f>
        <v>44576</v>
      </c>
    </row>
    <row r="13" spans="1:37" s="419" customFormat="1" ht="15" customHeight="1" x14ac:dyDescent="0.35">
      <c r="A13" s="400">
        <v>43</v>
      </c>
      <c r="B13" s="401">
        <v>217</v>
      </c>
      <c r="C13" s="416" t="s">
        <v>703</v>
      </c>
      <c r="D13" s="416" t="s">
        <v>704</v>
      </c>
      <c r="E13" s="416" t="s">
        <v>313</v>
      </c>
      <c r="F13" s="404">
        <v>44566</v>
      </c>
      <c r="G13" s="400" t="e">
        <f>DATEDIF(F13,#REF!,"Y")</f>
        <v>#REF!</v>
      </c>
      <c r="H13" s="421"/>
      <c r="I13" s="400" t="s">
        <v>84</v>
      </c>
      <c r="J13" s="411" t="s">
        <v>24</v>
      </c>
      <c r="K13" s="400" t="s">
        <v>614</v>
      </c>
      <c r="L13" s="422" t="s">
        <v>705</v>
      </c>
      <c r="M13" s="422" t="s">
        <v>706</v>
      </c>
      <c r="N13" s="400">
        <v>8300</v>
      </c>
      <c r="O13" s="422" t="s">
        <v>5</v>
      </c>
      <c r="P13" s="422" t="s">
        <v>5</v>
      </c>
      <c r="Q13" s="423">
        <v>32286</v>
      </c>
      <c r="R13" s="422"/>
      <c r="S13" s="422"/>
      <c r="T13" s="411" t="e">
        <f>DATEDIF(Q13,#REF!,"Y")</f>
        <v>#REF!</v>
      </c>
      <c r="U13" s="412" t="e">
        <f>DATEDIF(F13,#REF!,"MD")</f>
        <v>#REF!</v>
      </c>
      <c r="V13" s="412" t="e">
        <f>DATEDIF(F13,#REF!,"YM")</f>
        <v>#REF!</v>
      </c>
      <c r="W13" s="412" t="e">
        <f>DATEDIF(F13,#REF!,"Y")</f>
        <v>#REF!</v>
      </c>
      <c r="X13" s="422"/>
      <c r="Y13" s="422"/>
      <c r="Z13" s="422"/>
      <c r="AA13" s="422"/>
      <c r="AB13" s="400"/>
      <c r="AC13" s="400"/>
      <c r="AD13" s="422"/>
      <c r="AE13" s="400"/>
      <c r="AF13" s="422"/>
      <c r="AG13" s="422"/>
      <c r="AH13" s="422"/>
      <c r="AI13" s="422"/>
      <c r="AJ13" s="411"/>
      <c r="AK13" s="411"/>
    </row>
    <row r="14" spans="1:37" s="419" customFormat="1" ht="15" customHeight="1" thickBot="1" x14ac:dyDescent="0.4">
      <c r="A14" s="400">
        <v>41</v>
      </c>
      <c r="B14" s="401">
        <v>215</v>
      </c>
      <c r="C14" s="416" t="s">
        <v>697</v>
      </c>
      <c r="D14" s="416" t="s">
        <v>698</v>
      </c>
      <c r="E14" s="416" t="s">
        <v>100</v>
      </c>
      <c r="F14" s="404">
        <v>44490</v>
      </c>
      <c r="G14" s="400" t="e">
        <f>DATEDIF(F14,#REF!,"Y")</f>
        <v>#REF!</v>
      </c>
      <c r="H14" s="421"/>
      <c r="I14" s="400" t="s">
        <v>84</v>
      </c>
      <c r="J14" s="411" t="s">
        <v>24</v>
      </c>
      <c r="K14" s="400" t="s">
        <v>618</v>
      </c>
      <c r="L14" s="422" t="s">
        <v>618</v>
      </c>
      <c r="M14" s="422" t="s">
        <v>699</v>
      </c>
      <c r="N14" s="400">
        <v>8300</v>
      </c>
      <c r="O14" s="422" t="s">
        <v>5</v>
      </c>
      <c r="P14" s="422" t="s">
        <v>5</v>
      </c>
      <c r="Q14" s="423">
        <v>33519</v>
      </c>
      <c r="R14" s="411">
        <v>2616271260</v>
      </c>
      <c r="S14" s="422"/>
      <c r="T14" s="411" t="e">
        <f>DATEDIF(Q14,#REF!,"Y")</f>
        <v>#REF!</v>
      </c>
      <c r="U14" s="412" t="e">
        <f>DATEDIF(F14,#REF!,"MD")</f>
        <v>#REF!</v>
      </c>
      <c r="V14" s="412" t="e">
        <f>DATEDIF(F14,#REF!,"YM")</f>
        <v>#REF!</v>
      </c>
      <c r="W14" s="412" t="e">
        <f>DATEDIF(F14,#REF!,"Y")</f>
        <v>#REF!</v>
      </c>
      <c r="X14" s="408" t="s">
        <v>24</v>
      </c>
      <c r="Y14" s="408" t="s">
        <v>24</v>
      </c>
      <c r="Z14" s="422"/>
      <c r="AA14" s="422"/>
      <c r="AB14" s="424"/>
      <c r="AC14" s="414"/>
      <c r="AD14" s="424"/>
      <c r="AE14" s="414"/>
      <c r="AF14" s="422"/>
      <c r="AG14" s="422"/>
      <c r="AH14" s="422"/>
      <c r="AI14" s="416"/>
      <c r="AJ14" s="425"/>
      <c r="AK14" s="426"/>
    </row>
    <row r="15" spans="1:37" s="12" customFormat="1" ht="15" customHeight="1" thickTop="1" x14ac:dyDescent="0.35">
      <c r="A15" s="247">
        <v>28</v>
      </c>
      <c r="B15" s="258">
        <v>177</v>
      </c>
      <c r="C15" s="255" t="s">
        <v>534</v>
      </c>
      <c r="D15" s="320" t="s">
        <v>535</v>
      </c>
      <c r="E15" s="320" t="s">
        <v>100</v>
      </c>
      <c r="F15" s="301">
        <v>43704</v>
      </c>
      <c r="G15" s="245" t="e">
        <f>DATEDIF(F15,#REF!,"Y")</f>
        <v>#REF!</v>
      </c>
      <c r="H15" s="246" t="s">
        <v>383</v>
      </c>
      <c r="I15" s="260" t="s">
        <v>208</v>
      </c>
      <c r="J15" s="248" t="s">
        <v>25</v>
      </c>
      <c r="K15" s="247" t="s">
        <v>117</v>
      </c>
      <c r="L15" s="305" t="s">
        <v>537</v>
      </c>
      <c r="M15" s="305" t="s">
        <v>536</v>
      </c>
      <c r="N15" s="247">
        <v>8316</v>
      </c>
      <c r="O15" s="305" t="s">
        <v>4</v>
      </c>
      <c r="P15" s="305" t="s">
        <v>5</v>
      </c>
      <c r="Q15" s="322">
        <v>30539</v>
      </c>
      <c r="R15" s="243">
        <v>2994587977</v>
      </c>
      <c r="S15" s="305"/>
      <c r="T15" s="233" t="e">
        <f>DATEDIF(Q15,#REF!,"Y")</f>
        <v>#REF!</v>
      </c>
      <c r="U15" s="251" t="e">
        <f>DATEDIF(F15,#REF!,"MD")</f>
        <v>#REF!</v>
      </c>
      <c r="V15" s="251" t="e">
        <f>DATEDIF(F15,#REF!,"YM")</f>
        <v>#REF!</v>
      </c>
      <c r="W15" s="251" t="e">
        <f>DATEDIF(F15,#REF!,"Y")</f>
        <v>#REF!</v>
      </c>
      <c r="X15" s="305" t="s">
        <v>98</v>
      </c>
      <c r="Y15" s="305" t="s">
        <v>98</v>
      </c>
      <c r="Z15" s="305" t="s">
        <v>216</v>
      </c>
      <c r="AA15" s="305"/>
      <c r="AB15" s="345" t="s">
        <v>348</v>
      </c>
      <c r="AC15" s="264">
        <v>45511</v>
      </c>
      <c r="AD15" s="253"/>
      <c r="AE15" s="264"/>
      <c r="AF15" s="305"/>
      <c r="AG15" s="305"/>
      <c r="AH15" s="305"/>
      <c r="AI15" s="255" t="s">
        <v>355</v>
      </c>
      <c r="AJ15" s="262">
        <v>44580</v>
      </c>
      <c r="AK15" s="311">
        <f>AJ15+365</f>
        <v>44945</v>
      </c>
    </row>
    <row r="16" spans="1:37" s="12" customFormat="1" ht="15" customHeight="1" x14ac:dyDescent="0.35">
      <c r="A16" s="247">
        <v>37</v>
      </c>
      <c r="B16" s="258">
        <v>211</v>
      </c>
      <c r="C16" s="324" t="s">
        <v>678</v>
      </c>
      <c r="D16" s="324" t="s">
        <v>679</v>
      </c>
      <c r="E16" s="324" t="s">
        <v>100</v>
      </c>
      <c r="F16" s="301">
        <v>44382</v>
      </c>
      <c r="G16" s="247" t="e">
        <f>DATEDIF(F16,#REF!,"Y")</f>
        <v>#REF!</v>
      </c>
      <c r="H16" s="365" t="s">
        <v>383</v>
      </c>
      <c r="I16" s="247" t="s">
        <v>208</v>
      </c>
      <c r="J16" s="243" t="s">
        <v>25</v>
      </c>
      <c r="K16" s="247" t="s">
        <v>81</v>
      </c>
      <c r="L16" s="305" t="s">
        <v>680</v>
      </c>
      <c r="M16" s="305" t="s">
        <v>681</v>
      </c>
      <c r="N16" s="247">
        <v>8320</v>
      </c>
      <c r="O16" s="305" t="s">
        <v>659</v>
      </c>
      <c r="P16" s="305" t="s">
        <v>5</v>
      </c>
      <c r="Q16" s="322">
        <v>31432</v>
      </c>
      <c r="R16" s="243">
        <v>2996034792</v>
      </c>
      <c r="S16" s="305"/>
      <c r="T16" s="243" t="e">
        <f>DATEDIF(Q16,#REF!,"Y")</f>
        <v>#REF!</v>
      </c>
      <c r="U16" s="251" t="e">
        <f>DATEDIF(F16,#REF!,"MD")</f>
        <v>#REF!</v>
      </c>
      <c r="V16" s="251" t="e">
        <f>DATEDIF(F16,#REF!,"YM")</f>
        <v>#REF!</v>
      </c>
      <c r="W16" s="251" t="e">
        <f>DATEDIF(F16,#REF!,"Y")</f>
        <v>#REF!</v>
      </c>
      <c r="X16" s="305" t="s">
        <v>683</v>
      </c>
      <c r="Y16" s="305" t="s">
        <v>683</v>
      </c>
      <c r="Z16" s="305"/>
      <c r="AA16" s="305"/>
      <c r="AB16" s="366" t="s">
        <v>367</v>
      </c>
      <c r="AC16" s="323">
        <v>44591</v>
      </c>
      <c r="AD16" s="366" t="s">
        <v>348</v>
      </c>
      <c r="AE16" s="323">
        <v>45113</v>
      </c>
      <c r="AF16" s="345" t="s">
        <v>102</v>
      </c>
      <c r="AG16" s="323">
        <v>44855</v>
      </c>
      <c r="AH16" s="305" t="s">
        <v>700</v>
      </c>
      <c r="AI16" s="324" t="s">
        <v>357</v>
      </c>
      <c r="AJ16" s="321">
        <v>44372</v>
      </c>
      <c r="AK16" s="346">
        <f>AJ16+365</f>
        <v>44737</v>
      </c>
    </row>
    <row r="17" spans="1:37" s="419" customFormat="1" ht="15" customHeight="1" x14ac:dyDescent="0.35">
      <c r="A17" s="427">
        <v>44769</v>
      </c>
      <c r="B17" s="401">
        <v>226</v>
      </c>
      <c r="C17" s="416" t="s">
        <v>743</v>
      </c>
      <c r="D17" s="416" t="s">
        <v>744</v>
      </c>
      <c r="E17" s="416" t="s">
        <v>100</v>
      </c>
      <c r="F17" s="404">
        <v>44743</v>
      </c>
      <c r="G17" s="400" t="e">
        <f>DATEDIF(F17,#REF!,"Y")</f>
        <v>#REF!</v>
      </c>
      <c r="H17" s="421"/>
      <c r="I17" s="400" t="s">
        <v>84</v>
      </c>
      <c r="J17" s="411" t="s">
        <v>24</v>
      </c>
      <c r="K17" s="400" t="s">
        <v>746</v>
      </c>
      <c r="L17" s="422" t="s">
        <v>746</v>
      </c>
      <c r="M17" s="422" t="s">
        <v>750</v>
      </c>
      <c r="N17" s="400">
        <v>8320</v>
      </c>
      <c r="O17" s="422" t="s">
        <v>659</v>
      </c>
      <c r="P17" s="422" t="s">
        <v>5</v>
      </c>
      <c r="Q17" s="423">
        <v>33289</v>
      </c>
      <c r="R17" s="422"/>
      <c r="S17" s="422"/>
      <c r="T17" s="411" t="e">
        <f>DATEDIF(Q17,#REF!,"Y")</f>
        <v>#REF!</v>
      </c>
      <c r="U17" s="412" t="e">
        <f>DATEDIF(F17,#REF!,"MD")</f>
        <v>#REF!</v>
      </c>
      <c r="V17" s="412" t="e">
        <f>DATEDIF(F17,#REF!,"YM")</f>
        <v>#REF!</v>
      </c>
      <c r="W17" s="412" t="e">
        <f>DATEDIF(F17,#REF!,"Y")</f>
        <v>#REF!</v>
      </c>
      <c r="X17" s="422" t="s">
        <v>24</v>
      </c>
      <c r="Y17" s="422" t="s">
        <v>24</v>
      </c>
      <c r="Z17" s="422" t="s">
        <v>31</v>
      </c>
      <c r="AA17" s="422"/>
      <c r="AB17" s="400"/>
      <c r="AC17" s="400"/>
      <c r="AD17" s="428"/>
      <c r="AE17" s="400"/>
      <c r="AF17" s="428"/>
      <c r="AG17" s="400"/>
      <c r="AH17" s="422"/>
      <c r="AI17" s="422"/>
      <c r="AJ17" s="425"/>
      <c r="AK17" s="426"/>
    </row>
    <row r="18" spans="1:37" s="419" customFormat="1" ht="15" customHeight="1" x14ac:dyDescent="0.35">
      <c r="A18" s="427">
        <v>44774</v>
      </c>
      <c r="B18" s="401">
        <v>199</v>
      </c>
      <c r="C18" s="402" t="s">
        <v>631</v>
      </c>
      <c r="D18" s="403" t="s">
        <v>632</v>
      </c>
      <c r="E18" s="403" t="s">
        <v>100</v>
      </c>
      <c r="F18" s="404">
        <v>44223</v>
      </c>
      <c r="G18" s="405" t="e">
        <f>DATEDIF(F18,#REF!,"Y")</f>
        <v>#REF!</v>
      </c>
      <c r="H18" s="406"/>
      <c r="I18" s="407" t="s">
        <v>84</v>
      </c>
      <c r="J18" s="408" t="s">
        <v>24</v>
      </c>
      <c r="K18" s="409" t="s">
        <v>633</v>
      </c>
      <c r="L18" s="410" t="s">
        <v>633</v>
      </c>
      <c r="M18" s="410"/>
      <c r="N18" s="409">
        <v>8300</v>
      </c>
      <c r="O18" s="410" t="s">
        <v>5</v>
      </c>
      <c r="P18" s="410" t="s">
        <v>5</v>
      </c>
      <c r="Q18" s="408">
        <v>33181</v>
      </c>
      <c r="R18" s="410">
        <v>2612406011</v>
      </c>
      <c r="S18" s="411"/>
      <c r="T18" s="411" t="e">
        <f>DATEDIF(Q18,#REF!,"Y")</f>
        <v>#REF!</v>
      </c>
      <c r="U18" s="412" t="e">
        <f>DATEDIF(F18,#REF!,"MD")</f>
        <v>#REF!</v>
      </c>
      <c r="V18" s="412" t="e">
        <f>DATEDIF(F18,#REF!,"YM")</f>
        <v>#REF!</v>
      </c>
      <c r="W18" s="412" t="e">
        <f>DATEDIF(F18,#REF!,"Y")</f>
        <v>#REF!</v>
      </c>
      <c r="X18" s="408" t="s">
        <v>24</v>
      </c>
      <c r="Y18" s="408" t="s">
        <v>24</v>
      </c>
      <c r="Z18" s="410"/>
      <c r="AA18" s="410"/>
      <c r="AB18" s="413"/>
      <c r="AC18" s="414"/>
      <c r="AD18" s="413"/>
      <c r="AE18" s="414"/>
      <c r="AF18" s="413"/>
      <c r="AG18" s="409"/>
      <c r="AH18" s="415"/>
      <c r="AI18" s="416"/>
      <c r="AJ18" s="417"/>
      <c r="AK18" s="418"/>
    </row>
    <row r="19" spans="1:37" s="419" customFormat="1" ht="15" customHeight="1" x14ac:dyDescent="0.35">
      <c r="A19" s="427">
        <v>44774</v>
      </c>
      <c r="B19" s="401">
        <v>225</v>
      </c>
      <c r="C19" s="416" t="s">
        <v>740</v>
      </c>
      <c r="D19" s="416" t="s">
        <v>741</v>
      </c>
      <c r="E19" s="416" t="s">
        <v>100</v>
      </c>
      <c r="F19" s="404">
        <v>44694</v>
      </c>
      <c r="G19" s="400" t="e">
        <f>DATEDIF(F19,#REF!,"Y")</f>
        <v>#REF!</v>
      </c>
      <c r="H19" s="421"/>
      <c r="I19" s="400" t="s">
        <v>84</v>
      </c>
      <c r="J19" s="411" t="s">
        <v>24</v>
      </c>
      <c r="K19" s="400" t="s">
        <v>633</v>
      </c>
      <c r="L19" s="422" t="s">
        <v>633</v>
      </c>
      <c r="M19" s="422" t="s">
        <v>742</v>
      </c>
      <c r="N19" s="400">
        <v>8324</v>
      </c>
      <c r="O19" s="422" t="s">
        <v>2</v>
      </c>
      <c r="P19" s="422" t="s">
        <v>3</v>
      </c>
      <c r="Q19" s="423">
        <v>32868</v>
      </c>
      <c r="R19" s="422"/>
      <c r="S19" s="422"/>
      <c r="T19" s="411" t="e">
        <f>DATEDIF(Q19,#REF!,"Y")</f>
        <v>#REF!</v>
      </c>
      <c r="U19" s="412" t="e">
        <f>DATEDIF(F19,#REF!,"MD")</f>
        <v>#REF!</v>
      </c>
      <c r="V19" s="412" t="e">
        <f>DATEDIF(F19,#REF!,"YM")</f>
        <v>#REF!</v>
      </c>
      <c r="W19" s="412" t="e">
        <f>DATEDIF(F19,#REF!,"Y")</f>
        <v>#REF!</v>
      </c>
      <c r="X19" s="422" t="s">
        <v>24</v>
      </c>
      <c r="Y19" s="422" t="s">
        <v>24</v>
      </c>
      <c r="Z19" s="422"/>
      <c r="AA19" s="422"/>
      <c r="AB19" s="400"/>
      <c r="AC19" s="400"/>
      <c r="AD19" s="428"/>
      <c r="AE19" s="400"/>
      <c r="AF19" s="428"/>
      <c r="AG19" s="400"/>
      <c r="AH19" s="422"/>
      <c r="AI19" s="422"/>
      <c r="AJ19" s="425"/>
      <c r="AK19" s="426"/>
    </row>
    <row r="20" spans="1:37" s="419" customFormat="1" ht="15" customHeight="1" thickBot="1" x14ac:dyDescent="0.4">
      <c r="A20" s="427">
        <v>44781</v>
      </c>
      <c r="B20" s="401">
        <v>221</v>
      </c>
      <c r="C20" s="416" t="s">
        <v>724</v>
      </c>
      <c r="D20" s="416" t="s">
        <v>725</v>
      </c>
      <c r="E20" s="416" t="s">
        <v>100</v>
      </c>
      <c r="F20" s="404">
        <v>44631</v>
      </c>
      <c r="G20" s="400" t="e">
        <f>DATEDIF(F20,#REF!,"Y")</f>
        <v>#REF!</v>
      </c>
      <c r="H20" s="421"/>
      <c r="I20" s="400" t="s">
        <v>84</v>
      </c>
      <c r="J20" s="411" t="s">
        <v>24</v>
      </c>
      <c r="K20" s="400" t="s">
        <v>618</v>
      </c>
      <c r="L20" s="422" t="s">
        <v>618</v>
      </c>
      <c r="M20" s="422"/>
      <c r="N20" s="400">
        <v>8300</v>
      </c>
      <c r="O20" s="422" t="s">
        <v>5</v>
      </c>
      <c r="P20" s="422" t="s">
        <v>5</v>
      </c>
      <c r="Q20" s="423">
        <v>33621</v>
      </c>
      <c r="R20" s="422"/>
      <c r="S20" s="422"/>
      <c r="T20" s="411" t="e">
        <f>DATEDIF(Q20,#REF!,"Y")</f>
        <v>#REF!</v>
      </c>
      <c r="U20" s="412" t="e">
        <f>DATEDIF(F20,#REF!,"MD")</f>
        <v>#REF!</v>
      </c>
      <c r="V20" s="412" t="e">
        <f>DATEDIF(F20,#REF!,"YM")</f>
        <v>#REF!</v>
      </c>
      <c r="W20" s="412" t="e">
        <f>DATEDIF(F20,#REF!,"Y")</f>
        <v>#REF!</v>
      </c>
      <c r="X20" s="422" t="s">
        <v>24</v>
      </c>
      <c r="Y20" s="422" t="s">
        <v>24</v>
      </c>
      <c r="Z20" s="422" t="s">
        <v>216</v>
      </c>
      <c r="AA20" s="422"/>
      <c r="AB20" s="400"/>
      <c r="AC20" s="400"/>
      <c r="AD20" s="428" t="s">
        <v>348</v>
      </c>
      <c r="AE20" s="400"/>
      <c r="AF20" s="428"/>
      <c r="AG20" s="400"/>
      <c r="AH20" s="422"/>
      <c r="AI20" s="422"/>
      <c r="AJ20" s="425"/>
      <c r="AK20" s="426"/>
    </row>
    <row r="21" spans="1:37" s="419" customFormat="1" ht="16.5" customHeight="1" thickTop="1" thickBot="1" x14ac:dyDescent="0.4">
      <c r="A21" s="427">
        <v>44782</v>
      </c>
      <c r="B21" s="401">
        <v>118</v>
      </c>
      <c r="C21" s="402" t="s">
        <v>254</v>
      </c>
      <c r="D21" s="403">
        <v>27350716950</v>
      </c>
      <c r="E21" s="403" t="s">
        <v>100</v>
      </c>
      <c r="F21" s="429">
        <v>42705</v>
      </c>
      <c r="G21" s="405" t="e">
        <f>DATEDIF(F21,#REF!,"Y")</f>
        <v>#REF!</v>
      </c>
      <c r="H21" s="406">
        <v>108803</v>
      </c>
      <c r="I21" s="407" t="s">
        <v>84</v>
      </c>
      <c r="J21" s="408" t="s">
        <v>24</v>
      </c>
      <c r="K21" s="409" t="s">
        <v>126</v>
      </c>
      <c r="L21" s="410" t="s">
        <v>255</v>
      </c>
      <c r="M21" s="410" t="s">
        <v>721</v>
      </c>
      <c r="N21" s="409">
        <v>8300</v>
      </c>
      <c r="O21" s="410" t="s">
        <v>5</v>
      </c>
      <c r="P21" s="410" t="s">
        <v>5</v>
      </c>
      <c r="Q21" s="408">
        <v>32859</v>
      </c>
      <c r="R21" s="410">
        <v>2995471112</v>
      </c>
      <c r="S21" s="411" t="s">
        <v>256</v>
      </c>
      <c r="T21" s="430" t="e">
        <f>DATEDIF(Q21,#REF!,"Y")</f>
        <v>#REF!</v>
      </c>
      <c r="U21" s="412" t="e">
        <f>DATEDIF(F21,#REF!,"MD")</f>
        <v>#REF!</v>
      </c>
      <c r="V21" s="412" t="e">
        <f>DATEDIF(F21,#REF!,"YM")</f>
        <v>#REF!</v>
      </c>
      <c r="W21" s="412" t="e">
        <f>DATEDIF(F21,#REF!,"Y")</f>
        <v>#REF!</v>
      </c>
      <c r="X21" s="408" t="s">
        <v>24</v>
      </c>
      <c r="Y21" s="408" t="s">
        <v>24</v>
      </c>
      <c r="Z21" s="410" t="s">
        <v>216</v>
      </c>
      <c r="AA21" s="410"/>
      <c r="AB21" s="413"/>
      <c r="AC21" s="409"/>
      <c r="AD21" s="413"/>
      <c r="AE21" s="431"/>
      <c r="AF21" s="413"/>
      <c r="AG21" s="409"/>
      <c r="AH21" s="415"/>
      <c r="AI21" s="402"/>
      <c r="AJ21" s="417"/>
      <c r="AK21" s="432"/>
    </row>
    <row r="22" spans="1:37" s="12" customFormat="1" ht="15" customHeight="1" thickTop="1" x14ac:dyDescent="0.35">
      <c r="A22" s="354">
        <v>44799</v>
      </c>
      <c r="B22" s="258">
        <v>140</v>
      </c>
      <c r="C22" s="255" t="s">
        <v>431</v>
      </c>
      <c r="D22" s="259" t="s">
        <v>430</v>
      </c>
      <c r="E22" s="259" t="s">
        <v>100</v>
      </c>
      <c r="F22" s="244">
        <v>43323</v>
      </c>
      <c r="G22" s="245" t="e">
        <f>DATEDIF(F22,#REF!,"Y")</f>
        <v>#REF!</v>
      </c>
      <c r="H22" s="246" t="s">
        <v>383</v>
      </c>
      <c r="I22" s="260" t="s">
        <v>208</v>
      </c>
      <c r="J22" s="248" t="s">
        <v>25</v>
      </c>
      <c r="K22" s="249" t="s">
        <v>227</v>
      </c>
      <c r="L22" s="250" t="s">
        <v>577</v>
      </c>
      <c r="M22" s="250" t="s">
        <v>604</v>
      </c>
      <c r="N22" s="249">
        <v>8300</v>
      </c>
      <c r="O22" s="250" t="s">
        <v>5</v>
      </c>
      <c r="P22" s="250" t="s">
        <v>5</v>
      </c>
      <c r="Q22" s="248">
        <v>34017</v>
      </c>
      <c r="R22" s="250">
        <v>2983570565</v>
      </c>
      <c r="S22" s="243" t="s">
        <v>200</v>
      </c>
      <c r="T22" s="233" t="e">
        <f>DATEDIF(Q22,#REF!,"Y")</f>
        <v>#REF!</v>
      </c>
      <c r="U22" s="251" t="e">
        <f>DATEDIF(F22,#REF!,"MD")</f>
        <v>#REF!</v>
      </c>
      <c r="V22" s="251" t="e">
        <f>DATEDIF(F22,#REF!,"YM")</f>
        <v>#REF!</v>
      </c>
      <c r="W22" s="251" t="e">
        <f>DATEDIF(F22,#REF!,"Y")</f>
        <v>#REF!</v>
      </c>
      <c r="X22" s="250" t="s">
        <v>98</v>
      </c>
      <c r="Y22" s="250" t="s">
        <v>98</v>
      </c>
      <c r="Z22" s="250" t="s">
        <v>495</v>
      </c>
      <c r="AA22" s="250"/>
      <c r="AB22" s="253" t="s">
        <v>367</v>
      </c>
      <c r="AC22" s="264">
        <v>44766</v>
      </c>
      <c r="AD22" s="253" t="s">
        <v>348</v>
      </c>
      <c r="AE22" s="264">
        <v>44856</v>
      </c>
      <c r="AF22" s="253" t="s">
        <v>102</v>
      </c>
      <c r="AG22" s="264">
        <v>44855</v>
      </c>
      <c r="AH22" s="254" t="s">
        <v>700</v>
      </c>
      <c r="AI22" s="255" t="s">
        <v>355</v>
      </c>
      <c r="AJ22" s="256">
        <v>44652</v>
      </c>
      <c r="AK22" s="311">
        <f>AJ22+365</f>
        <v>45017</v>
      </c>
    </row>
    <row r="23" spans="1:37" s="419" customFormat="1" ht="15" customHeight="1" x14ac:dyDescent="0.35">
      <c r="A23" s="427">
        <v>44803</v>
      </c>
      <c r="B23" s="401">
        <v>228</v>
      </c>
      <c r="C23" s="416" t="s">
        <v>753</v>
      </c>
      <c r="D23" s="416" t="s">
        <v>755</v>
      </c>
      <c r="E23" s="416" t="s">
        <v>313</v>
      </c>
      <c r="F23" s="404">
        <v>44774</v>
      </c>
      <c r="G23" s="400" t="e">
        <f>DATEDIF(F23,#REF!,"Y")</f>
        <v>#REF!</v>
      </c>
      <c r="H23" s="421"/>
      <c r="I23" s="400" t="s">
        <v>84</v>
      </c>
      <c r="J23" s="411" t="s">
        <v>24</v>
      </c>
      <c r="K23" s="400" t="s">
        <v>754</v>
      </c>
      <c r="L23" s="422" t="s">
        <v>754</v>
      </c>
      <c r="M23" s="422"/>
      <c r="N23" s="400">
        <v>8300</v>
      </c>
      <c r="O23" s="422" t="s">
        <v>5</v>
      </c>
      <c r="P23" s="422" t="s">
        <v>5</v>
      </c>
      <c r="Q23" s="423"/>
      <c r="R23" s="422"/>
      <c r="S23" s="422"/>
      <c r="T23" s="411" t="e">
        <f>DATEDIF(Q23,#REF!,"Y")</f>
        <v>#REF!</v>
      </c>
      <c r="U23" s="412" t="e">
        <f>DATEDIF(F23,#REF!,"MD")</f>
        <v>#REF!</v>
      </c>
      <c r="V23" s="412" t="e">
        <f>DATEDIF(F23,#REF!,"YM")</f>
        <v>#REF!</v>
      </c>
      <c r="W23" s="412" t="e">
        <f>DATEDIF(F23,#REF!,"Y")</f>
        <v>#REF!</v>
      </c>
      <c r="X23" s="422" t="s">
        <v>24</v>
      </c>
      <c r="Y23" s="422" t="s">
        <v>24</v>
      </c>
      <c r="Z23" s="422"/>
      <c r="AA23" s="422"/>
      <c r="AB23" s="400"/>
      <c r="AC23" s="400"/>
      <c r="AD23" s="428"/>
      <c r="AE23" s="400"/>
      <c r="AF23" s="428"/>
      <c r="AG23" s="400"/>
      <c r="AH23" s="422"/>
      <c r="AI23" s="416"/>
      <c r="AJ23" s="425"/>
      <c r="AK23" s="426"/>
    </row>
    <row r="24" spans="1:37" s="12" customFormat="1" ht="15" customHeight="1" x14ac:dyDescent="0.35">
      <c r="A24" s="354">
        <v>44804</v>
      </c>
      <c r="B24" s="258">
        <v>191</v>
      </c>
      <c r="C24" s="255" t="s">
        <v>596</v>
      </c>
      <c r="D24" s="259" t="s">
        <v>597</v>
      </c>
      <c r="E24" s="259" t="s">
        <v>100</v>
      </c>
      <c r="F24" s="301">
        <v>44075</v>
      </c>
      <c r="G24" s="245" t="e">
        <f>DATEDIF(F24,#REF!,"Y")</f>
        <v>#REF!</v>
      </c>
      <c r="H24" s="246"/>
      <c r="I24" s="260" t="s">
        <v>207</v>
      </c>
      <c r="J24" s="248" t="s">
        <v>12</v>
      </c>
      <c r="K24" s="249" t="s">
        <v>239</v>
      </c>
      <c r="L24" s="250" t="s">
        <v>599</v>
      </c>
      <c r="M24" s="250" t="s">
        <v>598</v>
      </c>
      <c r="N24" s="249">
        <v>8311</v>
      </c>
      <c r="O24" s="250" t="s">
        <v>504</v>
      </c>
      <c r="P24" s="250" t="s">
        <v>5</v>
      </c>
      <c r="Q24" s="248">
        <v>24007</v>
      </c>
      <c r="R24" s="250">
        <v>2995745715</v>
      </c>
      <c r="S24" s="243"/>
      <c r="T24" s="243" t="e">
        <f>DATEDIF(Q24,#REF!,"Y")</f>
        <v>#REF!</v>
      </c>
      <c r="U24" s="251" t="e">
        <f>DATEDIF(F24,#REF!,"MD")</f>
        <v>#REF!</v>
      </c>
      <c r="V24" s="251" t="e">
        <f>DATEDIF(F24,#REF!,"YM")</f>
        <v>#REF!</v>
      </c>
      <c r="W24" s="251" t="e">
        <f>DATEDIF(F24,#REF!,"Y")</f>
        <v>#REF!</v>
      </c>
      <c r="X24" s="250" t="s">
        <v>225</v>
      </c>
      <c r="Y24" s="250" t="s">
        <v>225</v>
      </c>
      <c r="Z24" s="250" t="s">
        <v>31</v>
      </c>
      <c r="AA24" s="250"/>
      <c r="AB24" s="253" t="s">
        <v>348</v>
      </c>
      <c r="AC24" s="264">
        <v>46287</v>
      </c>
      <c r="AD24" s="253" t="s">
        <v>348</v>
      </c>
      <c r="AE24" s="264">
        <v>45115</v>
      </c>
      <c r="AF24" s="253"/>
      <c r="AG24" s="249"/>
      <c r="AH24" s="254"/>
      <c r="AI24" s="255" t="s">
        <v>355</v>
      </c>
      <c r="AJ24" s="256">
        <v>44705</v>
      </c>
      <c r="AK24" s="313">
        <f>AJ24+365</f>
        <v>45070</v>
      </c>
    </row>
    <row r="25" spans="1:37" s="419" customFormat="1" ht="15" customHeight="1" x14ac:dyDescent="0.35">
      <c r="A25" s="427">
        <v>44804</v>
      </c>
      <c r="B25" s="401">
        <v>224</v>
      </c>
      <c r="C25" s="416" t="s">
        <v>734</v>
      </c>
      <c r="D25" s="416" t="s">
        <v>730</v>
      </c>
      <c r="E25" s="416" t="s">
        <v>100</v>
      </c>
      <c r="F25" s="404">
        <v>44679</v>
      </c>
      <c r="G25" s="400" t="e">
        <f>DATEDIF(F25,#REF!,"Y")</f>
        <v>#REF!</v>
      </c>
      <c r="H25" s="421"/>
      <c r="I25" s="400" t="s">
        <v>84</v>
      </c>
      <c r="J25" s="411" t="s">
        <v>24</v>
      </c>
      <c r="K25" s="400" t="s">
        <v>731</v>
      </c>
      <c r="L25" s="422" t="s">
        <v>732</v>
      </c>
      <c r="M25" s="422" t="s">
        <v>733</v>
      </c>
      <c r="N25" s="400">
        <v>8300</v>
      </c>
      <c r="O25" s="422" t="s">
        <v>5</v>
      </c>
      <c r="P25" s="422" t="s">
        <v>5</v>
      </c>
      <c r="Q25" s="423">
        <v>36318</v>
      </c>
      <c r="R25" s="422"/>
      <c r="S25" s="422"/>
      <c r="T25" s="411" t="e">
        <f>DATEDIF(Q25,#REF!,"Y")</f>
        <v>#REF!</v>
      </c>
      <c r="U25" s="412" t="e">
        <f>DATEDIF(F25,#REF!,"MD")</f>
        <v>#REF!</v>
      </c>
      <c r="V25" s="412" t="e">
        <f>DATEDIF(F25,#REF!,"YM")</f>
        <v>#REF!</v>
      </c>
      <c r="W25" s="412" t="e">
        <f>DATEDIF(F25,#REF!,"Y")</f>
        <v>#REF!</v>
      </c>
      <c r="X25" s="422" t="s">
        <v>24</v>
      </c>
      <c r="Y25" s="422" t="s">
        <v>24</v>
      </c>
      <c r="Z25" s="422" t="s">
        <v>216</v>
      </c>
      <c r="AA25" s="422"/>
      <c r="AB25" s="400"/>
      <c r="AC25" s="400"/>
      <c r="AD25" s="428"/>
      <c r="AE25" s="400"/>
      <c r="AF25" s="428"/>
      <c r="AG25" s="400"/>
      <c r="AH25" s="422"/>
      <c r="AI25" s="422"/>
      <c r="AJ25" s="425"/>
      <c r="AK25" s="426"/>
    </row>
    <row r="26" spans="1:37" s="12" customFormat="1" ht="15" customHeight="1" x14ac:dyDescent="0.35">
      <c r="A26" s="354">
        <v>44806</v>
      </c>
      <c r="B26" s="258">
        <v>219</v>
      </c>
      <c r="C26" s="324" t="s">
        <v>718</v>
      </c>
      <c r="D26" s="324" t="s">
        <v>720</v>
      </c>
      <c r="E26" s="324" t="s">
        <v>100</v>
      </c>
      <c r="F26" s="301">
        <v>44615</v>
      </c>
      <c r="G26" s="247" t="e">
        <f>DATEDIF(F26,#REF!,"Y")</f>
        <v>#REF!</v>
      </c>
      <c r="H26" s="365" t="s">
        <v>383</v>
      </c>
      <c r="I26" s="247" t="s">
        <v>395</v>
      </c>
      <c r="J26" s="243" t="s">
        <v>396</v>
      </c>
      <c r="K26" s="247" t="s">
        <v>729</v>
      </c>
      <c r="L26" s="305" t="s">
        <v>219</v>
      </c>
      <c r="M26" s="305" t="s">
        <v>752</v>
      </c>
      <c r="N26" s="247">
        <v>8300</v>
      </c>
      <c r="O26" s="305" t="s">
        <v>5</v>
      </c>
      <c r="P26" s="305" t="s">
        <v>5</v>
      </c>
      <c r="Q26" s="322">
        <v>25984</v>
      </c>
      <c r="R26" s="305"/>
      <c r="S26" s="305"/>
      <c r="T26" s="243" t="e">
        <f>DATEDIF(Q26,#REF!,"Y")</f>
        <v>#REF!</v>
      </c>
      <c r="U26" s="251" t="e">
        <f>DATEDIF(F26,#REF!,"MD")</f>
        <v>#REF!</v>
      </c>
      <c r="V26" s="251" t="e">
        <f>DATEDIF(F26,#REF!,"YM")</f>
        <v>#REF!</v>
      </c>
      <c r="W26" s="251" t="e">
        <f>DATEDIF(F26,#REF!,"Y")</f>
        <v>#REF!</v>
      </c>
      <c r="X26" s="305" t="s">
        <v>737</v>
      </c>
      <c r="Y26" s="305" t="s">
        <v>737</v>
      </c>
      <c r="Z26" s="305" t="s">
        <v>216</v>
      </c>
      <c r="AA26" s="305"/>
      <c r="AB26" s="247"/>
      <c r="AC26" s="247"/>
      <c r="AD26" s="345" t="s">
        <v>348</v>
      </c>
      <c r="AE26" s="247"/>
      <c r="AF26" s="345"/>
      <c r="AG26" s="247"/>
      <c r="AH26" s="305"/>
      <c r="AI26" s="324" t="s">
        <v>357</v>
      </c>
      <c r="AJ26" s="262"/>
      <c r="AK26" s="346">
        <f>AJ26+365</f>
        <v>365</v>
      </c>
    </row>
    <row r="27" spans="1:37" s="12" customFormat="1" ht="15" customHeight="1" x14ac:dyDescent="0.35">
      <c r="A27" s="354">
        <v>44806</v>
      </c>
      <c r="B27" s="258">
        <v>223</v>
      </c>
      <c r="C27" s="324" t="s">
        <v>736</v>
      </c>
      <c r="D27" s="324" t="s">
        <v>735</v>
      </c>
      <c r="E27" s="324" t="s">
        <v>100</v>
      </c>
      <c r="F27" s="301">
        <v>44652</v>
      </c>
      <c r="G27" s="247">
        <v>0</v>
      </c>
      <c r="H27" s="365"/>
      <c r="I27" s="247" t="s">
        <v>654</v>
      </c>
      <c r="J27" s="243" t="s">
        <v>737</v>
      </c>
      <c r="K27" s="247"/>
      <c r="L27" s="305"/>
      <c r="M27" s="305"/>
      <c r="N27" s="247">
        <v>8316</v>
      </c>
      <c r="O27" s="305" t="s">
        <v>4</v>
      </c>
      <c r="P27" s="305" t="s">
        <v>5</v>
      </c>
      <c r="Q27" s="322">
        <v>30704</v>
      </c>
      <c r="R27" s="305"/>
      <c r="S27" s="305"/>
      <c r="T27" s="243" t="e">
        <f>DATEDIF(Q27,#REF!,"Y")</f>
        <v>#REF!</v>
      </c>
      <c r="U27" s="251" t="e">
        <f>DATEDIF(F27,#REF!,"MD")</f>
        <v>#REF!</v>
      </c>
      <c r="V27" s="251" t="e">
        <f>DATEDIF(F27,#REF!,"YM")</f>
        <v>#REF!</v>
      </c>
      <c r="W27" s="251" t="e">
        <f>DATEDIF(F27,#REF!,"Y")</f>
        <v>#REF!</v>
      </c>
      <c r="X27" s="305" t="s">
        <v>737</v>
      </c>
      <c r="Y27" s="305" t="s">
        <v>737</v>
      </c>
      <c r="Z27" s="305" t="s">
        <v>495</v>
      </c>
      <c r="AA27" s="305"/>
      <c r="AB27" s="247"/>
      <c r="AC27" s="247"/>
      <c r="AD27" s="345"/>
      <c r="AE27" s="247"/>
      <c r="AF27" s="345"/>
      <c r="AG27" s="247"/>
      <c r="AH27" s="305"/>
      <c r="AI27" s="305"/>
      <c r="AJ27" s="262"/>
      <c r="AK27" s="346"/>
    </row>
    <row r="28" spans="1:37" s="419" customFormat="1" ht="15" customHeight="1" x14ac:dyDescent="0.35">
      <c r="A28" s="400">
        <v>39</v>
      </c>
      <c r="B28" s="401">
        <v>229</v>
      </c>
      <c r="C28" s="416" t="s">
        <v>756</v>
      </c>
      <c r="D28" s="416" t="s">
        <v>757</v>
      </c>
      <c r="E28" s="416" t="s">
        <v>100</v>
      </c>
      <c r="F28" s="404">
        <v>44775</v>
      </c>
      <c r="G28" s="400" t="e">
        <f>DATEDIF(F28,#REF!,"Y")</f>
        <v>#REF!</v>
      </c>
      <c r="H28" s="421"/>
      <c r="I28" s="400" t="s">
        <v>84</v>
      </c>
      <c r="J28" s="411" t="s">
        <v>24</v>
      </c>
      <c r="K28" s="400" t="s">
        <v>618</v>
      </c>
      <c r="L28" s="422" t="s">
        <v>618</v>
      </c>
      <c r="M28" s="422"/>
      <c r="N28" s="400">
        <v>8300</v>
      </c>
      <c r="O28" s="422" t="s">
        <v>5</v>
      </c>
      <c r="P28" s="422" t="s">
        <v>5</v>
      </c>
      <c r="Q28" s="423">
        <v>37124</v>
      </c>
      <c r="R28" s="411">
        <v>2994113420</v>
      </c>
      <c r="S28" s="422"/>
      <c r="T28" s="411" t="e">
        <f>DATEDIF(Q28,#REF!,"Y")</f>
        <v>#REF!</v>
      </c>
      <c r="U28" s="412" t="e">
        <f>DATEDIF(F28,#REF!,"MD")</f>
        <v>#REF!</v>
      </c>
      <c r="V28" s="412" t="e">
        <f>DATEDIF(F28,#REF!,"YM")</f>
        <v>#REF!</v>
      </c>
      <c r="W28" s="412" t="e">
        <f>DATEDIF(F28,#REF!,"Y")</f>
        <v>#REF!</v>
      </c>
      <c r="X28" s="422" t="s">
        <v>24</v>
      </c>
      <c r="Y28" s="422" t="s">
        <v>24</v>
      </c>
      <c r="Z28" s="422"/>
      <c r="AA28" s="422"/>
      <c r="AB28" s="400"/>
      <c r="AC28" s="400"/>
      <c r="AD28" s="428"/>
      <c r="AE28" s="400"/>
      <c r="AF28" s="428"/>
      <c r="AG28" s="400"/>
      <c r="AH28" s="422"/>
      <c r="AI28" s="416"/>
      <c r="AJ28" s="425"/>
      <c r="AK28" s="426"/>
    </row>
    <row r="29" spans="1:37" s="12" customFormat="1" ht="15" customHeight="1" x14ac:dyDescent="0.35">
      <c r="A29" s="247">
        <v>34</v>
      </c>
      <c r="B29" s="258">
        <v>216</v>
      </c>
      <c r="C29" s="324" t="s">
        <v>701</v>
      </c>
      <c r="D29" s="324" t="s">
        <v>702</v>
      </c>
      <c r="E29" s="324" t="s">
        <v>100</v>
      </c>
      <c r="F29" s="301">
        <v>44564</v>
      </c>
      <c r="G29" s="247" t="e">
        <f>DATEDIF(F29,#REF!,"Y")</f>
        <v>#REF!</v>
      </c>
      <c r="H29" s="365"/>
      <c r="I29" s="247" t="s">
        <v>654</v>
      </c>
      <c r="J29" s="243" t="s">
        <v>737</v>
      </c>
      <c r="K29" s="247"/>
      <c r="L29" s="305"/>
      <c r="M29" s="305"/>
      <c r="N29" s="247">
        <v>8320</v>
      </c>
      <c r="O29" s="305" t="s">
        <v>659</v>
      </c>
      <c r="P29" s="305" t="s">
        <v>5</v>
      </c>
      <c r="Q29" s="322">
        <v>34908</v>
      </c>
      <c r="R29" s="243">
        <v>2644827439</v>
      </c>
      <c r="S29" s="305"/>
      <c r="T29" s="243" t="e">
        <f>DATEDIF(Q29,#REF!,"Y")</f>
        <v>#REF!</v>
      </c>
      <c r="U29" s="251" t="e">
        <f>DATEDIF(F29,#REF!,"MD")</f>
        <v>#REF!</v>
      </c>
      <c r="V29" s="251" t="e">
        <f>DATEDIF(F29,#REF!,"YM")</f>
        <v>#REF!</v>
      </c>
      <c r="W29" s="251" t="e">
        <f>DATEDIF(F29,#REF!,"Y")</f>
        <v>#REF!</v>
      </c>
      <c r="X29" s="305" t="s">
        <v>737</v>
      </c>
      <c r="Y29" s="305" t="s">
        <v>737</v>
      </c>
      <c r="Z29" s="305"/>
      <c r="AA29" s="305"/>
      <c r="AB29" s="247"/>
      <c r="AC29" s="247"/>
      <c r="AD29" s="345"/>
      <c r="AE29" s="247"/>
      <c r="AF29" s="345"/>
      <c r="AG29" s="247"/>
      <c r="AH29" s="305"/>
      <c r="AI29" s="305"/>
      <c r="AJ29" s="262"/>
      <c r="AK29" s="346"/>
    </row>
    <row r="30" spans="1:37" s="433" customFormat="1" x14ac:dyDescent="0.35">
      <c r="A30" s="427">
        <v>44862</v>
      </c>
      <c r="B30" s="401">
        <v>238</v>
      </c>
      <c r="C30" s="416" t="s">
        <v>778</v>
      </c>
      <c r="D30" s="416" t="s">
        <v>779</v>
      </c>
      <c r="E30" s="416" t="s">
        <v>313</v>
      </c>
      <c r="F30" s="404">
        <v>44841</v>
      </c>
      <c r="G30" s="400" t="e">
        <f>DATEDIF(F30,#REF!,"Y")</f>
        <v>#REF!</v>
      </c>
      <c r="H30" s="421"/>
      <c r="I30" s="400" t="s">
        <v>84</v>
      </c>
      <c r="J30" s="411" t="s">
        <v>24</v>
      </c>
      <c r="K30" s="400" t="s">
        <v>754</v>
      </c>
      <c r="L30" s="422" t="s">
        <v>746</v>
      </c>
      <c r="M30" s="422"/>
      <c r="N30" s="400">
        <v>8300</v>
      </c>
      <c r="O30" s="422" t="s">
        <v>5</v>
      </c>
      <c r="P30" s="422" t="s">
        <v>5</v>
      </c>
      <c r="Q30" s="423">
        <v>26415</v>
      </c>
      <c r="R30" s="411"/>
      <c r="S30" s="422"/>
      <c r="T30" s="411" t="e">
        <f>DATEDIF(Q30,#REF!,"Y")</f>
        <v>#REF!</v>
      </c>
      <c r="U30" s="412" t="e">
        <f>DATEDIF(F30,#REF!,"MD")</f>
        <v>#REF!</v>
      </c>
      <c r="V30" s="412" t="e">
        <f>DATEDIF(F30,#REF!,"YM")</f>
        <v>#REF!</v>
      </c>
      <c r="W30" s="412" t="e">
        <f>DATEDIF(F30,#REF!,"Y")</f>
        <v>#REF!</v>
      </c>
      <c r="X30" s="422"/>
      <c r="Y30" s="422"/>
      <c r="Z30" s="422"/>
      <c r="AA30" s="422"/>
      <c r="AB30" s="400"/>
      <c r="AC30" s="400"/>
      <c r="AD30" s="428"/>
      <c r="AE30" s="400"/>
      <c r="AF30" s="428"/>
      <c r="AG30" s="400"/>
      <c r="AH30" s="422"/>
      <c r="AI30" s="416"/>
      <c r="AJ30" s="425"/>
      <c r="AK30" s="426"/>
    </row>
    <row r="31" spans="1:37" s="12" customFormat="1" ht="15" customHeight="1" x14ac:dyDescent="0.35">
      <c r="A31" s="354">
        <v>44875</v>
      </c>
      <c r="B31" s="258">
        <v>183</v>
      </c>
      <c r="C31" s="255" t="s">
        <v>710</v>
      </c>
      <c r="D31" s="259" t="s">
        <v>553</v>
      </c>
      <c r="E31" s="259" t="s">
        <v>782</v>
      </c>
      <c r="F31" s="301">
        <v>43755</v>
      </c>
      <c r="G31" s="245" t="e">
        <f>DATEDIF(F31,#REF!,"Y")</f>
        <v>#REF!</v>
      </c>
      <c r="H31" s="246"/>
      <c r="I31" s="260" t="s">
        <v>208</v>
      </c>
      <c r="J31" s="248" t="s">
        <v>25</v>
      </c>
      <c r="K31" s="249" t="s">
        <v>95</v>
      </c>
      <c r="L31" s="305" t="s">
        <v>219</v>
      </c>
      <c r="M31" s="250" t="s">
        <v>651</v>
      </c>
      <c r="N31" s="249">
        <v>8300</v>
      </c>
      <c r="O31" s="250" t="s">
        <v>5</v>
      </c>
      <c r="P31" s="250" t="s">
        <v>5</v>
      </c>
      <c r="Q31" s="248">
        <v>33896</v>
      </c>
      <c r="R31" s="250">
        <v>2995504091</v>
      </c>
      <c r="S31" s="243"/>
      <c r="T31" s="243" t="e">
        <f>DATEDIF(Q31,#REF!,"Y")</f>
        <v>#REF!</v>
      </c>
      <c r="U31" s="251" t="e">
        <f>DATEDIF(F31,#REF!,"MD")</f>
        <v>#REF!</v>
      </c>
      <c r="V31" s="251" t="e">
        <f>DATEDIF(F31,#REF!,"YM")</f>
        <v>#REF!</v>
      </c>
      <c r="W31" s="251" t="e">
        <f>DATEDIF(F31,#REF!,"Y")</f>
        <v>#REF!</v>
      </c>
      <c r="X31" s="305" t="s">
        <v>98</v>
      </c>
      <c r="Y31" s="305" t="s">
        <v>98</v>
      </c>
      <c r="Z31" s="250" t="s">
        <v>216</v>
      </c>
      <c r="AA31" s="250"/>
      <c r="AB31" s="253" t="s">
        <v>348</v>
      </c>
      <c r="AC31" s="264"/>
      <c r="AD31" s="253" t="s">
        <v>348</v>
      </c>
      <c r="AE31" s="264">
        <v>44525</v>
      </c>
      <c r="AF31" s="253"/>
      <c r="AG31" s="249"/>
      <c r="AH31" s="254"/>
      <c r="AI31" s="255" t="s">
        <v>355</v>
      </c>
      <c r="AJ31" s="256">
        <v>43745</v>
      </c>
      <c r="AK31" s="313">
        <f>AJ31+365</f>
        <v>44110</v>
      </c>
    </row>
    <row r="32" spans="1:37" s="12" customFormat="1" ht="15" customHeight="1" x14ac:dyDescent="0.35">
      <c r="A32" s="354">
        <v>44879</v>
      </c>
      <c r="B32" s="258">
        <v>234</v>
      </c>
      <c r="C32" s="324" t="s">
        <v>762</v>
      </c>
      <c r="D32" s="324" t="s">
        <v>763</v>
      </c>
      <c r="E32" s="324" t="s">
        <v>313</v>
      </c>
      <c r="F32" s="301">
        <v>44797</v>
      </c>
      <c r="G32" s="247" t="e">
        <f>DATEDIF(F32,#REF!,"Y")</f>
        <v>#REF!</v>
      </c>
      <c r="H32" s="365"/>
      <c r="I32" s="247" t="s">
        <v>208</v>
      </c>
      <c r="J32" s="243" t="s">
        <v>25</v>
      </c>
      <c r="K32" s="247" t="s">
        <v>26</v>
      </c>
      <c r="L32" s="305" t="s">
        <v>219</v>
      </c>
      <c r="M32" s="305"/>
      <c r="N32" s="247">
        <v>8300</v>
      </c>
      <c r="O32" s="305" t="s">
        <v>5</v>
      </c>
      <c r="P32" s="305" t="s">
        <v>5</v>
      </c>
      <c r="Q32" s="322">
        <v>34820</v>
      </c>
      <c r="R32" s="243">
        <v>2995046886</v>
      </c>
      <c r="S32" s="305"/>
      <c r="T32" s="243" t="e">
        <f>DATEDIF(Q32,#REF!,"Y")</f>
        <v>#REF!</v>
      </c>
      <c r="U32" s="251" t="e">
        <f>DATEDIF(F32,#REF!,"MD")</f>
        <v>#REF!</v>
      </c>
      <c r="V32" s="251" t="e">
        <f>DATEDIF(F32,#REF!,"YM")</f>
        <v>#REF!</v>
      </c>
      <c r="W32" s="251" t="e">
        <f>DATEDIF(F32,#REF!,"Y")</f>
        <v>#REF!</v>
      </c>
      <c r="X32" s="305" t="s">
        <v>98</v>
      </c>
      <c r="Y32" s="305" t="s">
        <v>98</v>
      </c>
      <c r="Z32" s="305"/>
      <c r="AA32" s="305"/>
      <c r="AB32" s="247"/>
      <c r="AC32" s="264">
        <v>45500</v>
      </c>
      <c r="AD32" s="345" t="s">
        <v>348</v>
      </c>
      <c r="AE32" s="264">
        <v>45528</v>
      </c>
      <c r="AF32" s="345" t="s">
        <v>102</v>
      </c>
      <c r="AG32" s="264">
        <v>45067</v>
      </c>
      <c r="AH32" s="305" t="s">
        <v>780</v>
      </c>
      <c r="AI32" s="324" t="s">
        <v>357</v>
      </c>
      <c r="AJ32" s="262">
        <v>44777</v>
      </c>
      <c r="AK32" s="346">
        <f>+AJ32+365</f>
        <v>45142</v>
      </c>
    </row>
    <row r="33" spans="1:38" s="419" customFormat="1" ht="15" customHeight="1" x14ac:dyDescent="0.35">
      <c r="A33" s="400">
        <v>44</v>
      </c>
      <c r="B33" s="401">
        <v>242</v>
      </c>
      <c r="C33" s="416" t="s">
        <v>788</v>
      </c>
      <c r="D33" s="434">
        <v>41977825</v>
      </c>
      <c r="E33" s="416" t="s">
        <v>789</v>
      </c>
      <c r="F33" s="416" t="s">
        <v>668</v>
      </c>
      <c r="G33" s="404">
        <v>44874</v>
      </c>
      <c r="H33" s="400" t="e">
        <f>DATEDIF(G33,#REF!,"Y")</f>
        <v>#REF!</v>
      </c>
      <c r="I33" s="421"/>
      <c r="J33" s="400" t="s">
        <v>84</v>
      </c>
      <c r="K33" s="411" t="s">
        <v>24</v>
      </c>
      <c r="L33" s="400" t="s">
        <v>618</v>
      </c>
      <c r="M33" s="422" t="s">
        <v>618</v>
      </c>
      <c r="N33" s="422"/>
      <c r="O33" s="400"/>
      <c r="P33" s="422"/>
      <c r="Q33" s="422"/>
      <c r="R33" s="423"/>
      <c r="S33" s="411"/>
      <c r="T33" s="422"/>
      <c r="U33" s="411"/>
      <c r="V33" s="412" t="e">
        <f>DATEDIF(G33,#REF!,"MD")</f>
        <v>#REF!</v>
      </c>
      <c r="W33" s="412" t="e">
        <f>DATEDIF(G33,#REF!,"YM")</f>
        <v>#REF!</v>
      </c>
      <c r="X33" s="412" t="e">
        <f>DATEDIF(G33,#REF!,"Y")</f>
        <v>#REF!</v>
      </c>
      <c r="Y33" s="422"/>
      <c r="Z33" s="422"/>
      <c r="AA33" s="422"/>
      <c r="AB33" s="422"/>
      <c r="AC33" s="400"/>
      <c r="AD33" s="400"/>
      <c r="AE33" s="428"/>
      <c r="AF33" s="400"/>
      <c r="AG33" s="428"/>
      <c r="AH33" s="400"/>
      <c r="AI33" s="422"/>
      <c r="AJ33" s="416"/>
      <c r="AK33" s="425"/>
      <c r="AL33" s="426"/>
    </row>
    <row r="34" spans="1:38" s="12" customFormat="1" ht="15" customHeight="1" x14ac:dyDescent="0.35">
      <c r="A34" s="247">
        <v>36</v>
      </c>
      <c r="B34" s="258">
        <v>228</v>
      </c>
      <c r="C34" s="324" t="s">
        <v>747</v>
      </c>
      <c r="D34" s="303">
        <v>30062026</v>
      </c>
      <c r="E34" s="324" t="s">
        <v>748</v>
      </c>
      <c r="F34" s="324"/>
      <c r="G34" s="301">
        <v>44753</v>
      </c>
      <c r="H34" s="247" t="e">
        <f>DATEDIF(G34,#REF!,"Y")</f>
        <v>#REF!</v>
      </c>
      <c r="I34" s="365"/>
      <c r="J34" s="247" t="s">
        <v>207</v>
      </c>
      <c r="K34" s="243" t="s">
        <v>12</v>
      </c>
      <c r="L34" s="247" t="s">
        <v>745</v>
      </c>
      <c r="M34" s="305" t="s">
        <v>745</v>
      </c>
      <c r="N34" s="305" t="s">
        <v>749</v>
      </c>
      <c r="O34" s="247">
        <v>8300</v>
      </c>
      <c r="P34" s="305" t="s">
        <v>5</v>
      </c>
      <c r="Q34" s="305" t="s">
        <v>5</v>
      </c>
      <c r="R34" s="322">
        <v>30342</v>
      </c>
      <c r="S34" s="243">
        <v>2994190255</v>
      </c>
      <c r="T34" s="305"/>
      <c r="U34" s="243" t="e">
        <f>DATEDIF(R34,#REF!,"Y")</f>
        <v>#REF!</v>
      </c>
      <c r="V34" s="251" t="e">
        <f>DATEDIF(G34,#REF!,"MD")</f>
        <v>#REF!</v>
      </c>
      <c r="W34" s="251" t="e">
        <f>DATEDIF(G34,#REF!,"YM")</f>
        <v>#REF!</v>
      </c>
      <c r="X34" s="251" t="e">
        <f>DATEDIF(G34,#REF!,"Y")</f>
        <v>#REF!</v>
      </c>
      <c r="Y34" s="305" t="s">
        <v>225</v>
      </c>
      <c r="Z34" s="305" t="s">
        <v>225</v>
      </c>
      <c r="AA34" s="305" t="s">
        <v>31</v>
      </c>
      <c r="AB34" s="305"/>
      <c r="AC34" s="247"/>
      <c r="AD34" s="264">
        <v>45681</v>
      </c>
      <c r="AE34" s="345" t="s">
        <v>348</v>
      </c>
      <c r="AF34" s="264">
        <v>45485</v>
      </c>
      <c r="AG34" s="345"/>
      <c r="AH34" s="247"/>
      <c r="AI34" s="305"/>
      <c r="AJ34" s="324" t="s">
        <v>357</v>
      </c>
      <c r="AK34" s="262">
        <v>44740</v>
      </c>
      <c r="AL34" s="346">
        <f>AK34+365</f>
        <v>45105</v>
      </c>
    </row>
  </sheetData>
  <mergeCells count="23">
    <mergeCell ref="S1:S2"/>
    <mergeCell ref="T1:V1"/>
    <mergeCell ref="W1:W2"/>
    <mergeCell ref="X1:X2"/>
    <mergeCell ref="Y1:Y2"/>
    <mergeCell ref="R1:R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F1:F2"/>
    <mergeCell ref="A1:A2"/>
    <mergeCell ref="B1:B2"/>
    <mergeCell ref="C1:C2"/>
    <mergeCell ref="D1:D2"/>
    <mergeCell ref="E1:E2"/>
  </mergeCells>
  <hyperlinks>
    <hyperlink ref="AJ7" r:id="rId1" display="01) RRHH\SANCHEZ MARCELO IVAN\Preocupacional Vto 22-07-2022.pdf" xr:uid="{00000000-0004-0000-0400-000000000000}"/>
    <hyperlink ref="AC7" r:id="rId2" display="01) RRHH\SANCHEZ MARCELO IVAN\LIC. CONDUCIR Vto 19-06-2024.pdf" xr:uid="{00000000-0004-0000-0400-000001000000}"/>
    <hyperlink ref="AE11" r:id="rId3" display="01) RRHH\RUMIE VITTAR RODOLFO ARIEL\MD Vto 14-01-2023.pdf" xr:uid="{00000000-0004-0000-0400-000002000000}"/>
    <hyperlink ref="AC11" r:id="rId4" display="01) RRHH\RUMIE VITTAR RODOLFO ARIEL\Lic. de conducir vto 20-09-24.pdf" xr:uid="{00000000-0004-0000-0400-000003000000}"/>
    <hyperlink ref="AJ11" r:id="rId5" display="01) RRHH\RUMIE VITTAR RODOLFO ARIEL\Ex. preocupacional  VTO 29-12-2021.pdf" xr:uid="{00000000-0004-0000-0400-000004000000}"/>
    <hyperlink ref="AJ12" r:id="rId6" display="01) RRHH\REJEP MARIO EMILIO\Ex. Periodico VTO 15-01-2022.pdf" xr:uid="{00000000-0004-0000-0400-000005000000}"/>
    <hyperlink ref="AC12" r:id="rId7" display="01) RRHH\REJEP MARIO EMILIO\Lic. Conducir VTO 19-04-2026.pdf" xr:uid="{00000000-0004-0000-0400-000006000000}"/>
    <hyperlink ref="AE12" r:id="rId8" display="01) RRHH\REJEP MARIO EMILIO\MD vto 14-01-2023.pdf" xr:uid="{00000000-0004-0000-0400-000007000000}"/>
    <hyperlink ref="AC15" r:id="rId9" display="01) RRHH\JARAMILLO, SERGIO GASTON\Licencia, vto 07-08-2024.pdf" xr:uid="{00000000-0004-0000-0400-000008000000}"/>
    <hyperlink ref="AJ15" r:id="rId10" display="01) RRHH\JARAMILLO, SERGIO GASTON\Ex. Periodico Vto 19-01-2023.pdf" xr:uid="{00000000-0004-0000-0400-000009000000}"/>
    <hyperlink ref="AC16" r:id="rId11" display="01) RRHH\RILO HERNAN\LIC. CONDUCIR Vto 30-01-22.pdf" xr:uid="{00000000-0004-0000-0400-00000A000000}"/>
    <hyperlink ref="AJ16" r:id="rId12" display="01) RRHH\RILO HERNAN\Pre ocupacional Vto25-06-22.pdf" xr:uid="{00000000-0004-0000-0400-00000B000000}"/>
    <hyperlink ref="AE16" r:id="rId13" display="01) RRHH\RILO HERNAN\MD vto 06-07-2023.pdf" xr:uid="{00000000-0004-0000-0400-00000C000000}"/>
    <hyperlink ref="AG16" r:id="rId14" display="01) RRHH\RILO HERNAN\linti.pdf" xr:uid="{00000000-0004-0000-0400-00000D000000}"/>
    <hyperlink ref="AC22" r:id="rId15" display="01) RRHH\POLO FRANCO EXEQUIEL\LICENCIA VTO 25-04-2020.pdf" xr:uid="{00000000-0004-0000-0400-00000E000000}"/>
    <hyperlink ref="AE22" r:id="rId16" display="01) RRHH\POLO FRANCO EXEQUIEL\MD Vto 22-10-2022.pdf" xr:uid="{00000000-0004-0000-0400-00000F000000}"/>
    <hyperlink ref="AG22" r:id="rId17" display="01) RRHH\POLO FRANCO EXEQUIEL\LINTI.pdf" xr:uid="{00000000-0004-0000-0400-000010000000}"/>
    <hyperlink ref="AJ22" r:id="rId18" display="01) RRHH\POLO FRANCO EXEQUIEL\Ex. Periodico Vto 01-04-2023.pdf" xr:uid="{00000000-0004-0000-0400-000011000000}"/>
    <hyperlink ref="AE24" r:id="rId19" display="01) RRHH\RODRIGUEZ DIEGO IGNACIO\MD VTO 08-07-2023.pdf" xr:uid="{00000000-0004-0000-0400-000012000000}"/>
    <hyperlink ref="AC24" r:id="rId20" display="01) RRHH\RODRIGUEZ DIEGO IGNACIO\licencia de conducir VTO 22-09-2026.pdf" xr:uid="{00000000-0004-0000-0400-000013000000}"/>
    <hyperlink ref="AJ24" r:id="rId21" display="01) RRHH\RODRIGUEZ DIEGO IGNACIO\Nuevo periodico Vto 24-05-2023.pdf" xr:uid="{00000000-0004-0000-0400-000014000000}"/>
    <hyperlink ref="AE31" r:id="rId22" display="01) RRHH\FLORES, FRANCO LEANDRO\MD VTO 25-11-2021.pdf" xr:uid="{00000000-0004-0000-0400-000015000000}"/>
    <hyperlink ref="AC32" r:id="rId23" display="01) RRHH\COFRE PINO ENZO FABIAN\Lic. VTO 27-07-2024.pdf" xr:uid="{00000000-0004-0000-0400-000016000000}"/>
    <hyperlink ref="AE32" r:id="rId24" display="01) RRHH\COFRE PINO ENZO FABIAN\MD VTO 24-08-2024.pdf" xr:uid="{00000000-0004-0000-0400-000017000000}"/>
    <hyperlink ref="AJ32" r:id="rId25" display="01) RRHH\COFRE PINO ENZO FABIAN\Preocupacional VTO 04-08-2023.pdf" xr:uid="{00000000-0004-0000-0400-000018000000}"/>
    <hyperlink ref="AG32" r:id="rId26" display="01) RRHH\COFRE PINO ENZO FABIAN\Linti VTO 21-05-2023.pdf" xr:uid="{00000000-0004-0000-0400-000019000000}"/>
    <hyperlink ref="AK34" r:id="rId27" display="01) RRHH\GRILL JULIETA\PRE OCUPACIONAL.pdf" xr:uid="{00000000-0004-0000-0400-00001A000000}"/>
    <hyperlink ref="AD34" r:id="rId28" display="01) RRHH\GRILL JULIETA\LIC. CONDUCIR VTO 24-01-2025.pdf" xr:uid="{00000000-0004-0000-0400-00001B000000}"/>
    <hyperlink ref="AF34" r:id="rId29" display="01) RRHH\GRILL JULIETA\MD VTO 12-07-2024.pdf" xr:uid="{00000000-0004-0000-0400-00001C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27"/>
  <sheetViews>
    <sheetView workbookViewId="0">
      <selection activeCell="E27" sqref="E27"/>
    </sheetView>
  </sheetViews>
  <sheetFormatPr baseColWidth="10" defaultRowHeight="15.5" x14ac:dyDescent="0.35"/>
  <cols>
    <col min="3" max="3" width="23" customWidth="1"/>
  </cols>
  <sheetData>
    <row r="1" spans="1:38" ht="16" thickBot="1" x14ac:dyDescent="0.4">
      <c r="A1" s="502" t="s">
        <v>93</v>
      </c>
      <c r="B1" s="502" t="s">
        <v>10</v>
      </c>
      <c r="C1" s="502" t="s">
        <v>6</v>
      </c>
      <c r="D1" s="502" t="s">
        <v>0</v>
      </c>
      <c r="E1" s="502" t="s">
        <v>103</v>
      </c>
      <c r="F1" s="502" t="s">
        <v>112</v>
      </c>
      <c r="G1" s="502" t="s">
        <v>192</v>
      </c>
      <c r="H1" s="502" t="s">
        <v>185</v>
      </c>
      <c r="I1" s="502" t="s">
        <v>176</v>
      </c>
      <c r="J1" s="502" t="s">
        <v>186</v>
      </c>
      <c r="K1" s="502" t="s">
        <v>8</v>
      </c>
      <c r="L1" s="502" t="s">
        <v>1</v>
      </c>
      <c r="M1" s="502" t="s">
        <v>177</v>
      </c>
      <c r="N1" s="502" t="s">
        <v>178</v>
      </c>
      <c r="O1" s="502" t="s">
        <v>191</v>
      </c>
      <c r="P1" s="502" t="s">
        <v>190</v>
      </c>
      <c r="Q1" s="502" t="s">
        <v>179</v>
      </c>
      <c r="R1" s="502" t="s">
        <v>180</v>
      </c>
      <c r="S1" s="502" t="s">
        <v>181</v>
      </c>
      <c r="T1" s="502" t="s">
        <v>182</v>
      </c>
      <c r="U1" s="502"/>
      <c r="V1" s="502"/>
      <c r="W1" s="502" t="s">
        <v>22</v>
      </c>
      <c r="X1" s="502" t="s">
        <v>23</v>
      </c>
      <c r="Y1" s="502" t="s">
        <v>9</v>
      </c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8" x14ac:dyDescent="0.35">
      <c r="A2" s="503"/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503"/>
      <c r="M2" s="503"/>
      <c r="N2" s="503"/>
      <c r="O2" s="503"/>
      <c r="P2" s="503"/>
      <c r="Q2" s="503"/>
      <c r="R2" s="503"/>
      <c r="S2" s="503"/>
      <c r="T2" s="353" t="s">
        <v>187</v>
      </c>
      <c r="U2" s="353" t="s">
        <v>188</v>
      </c>
      <c r="V2" s="353" t="s">
        <v>189</v>
      </c>
      <c r="W2" s="503"/>
      <c r="X2" s="503"/>
      <c r="Y2" s="503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8" s="12" customFormat="1" ht="15" customHeight="1" x14ac:dyDescent="0.35">
      <c r="A3" s="354">
        <v>44209</v>
      </c>
      <c r="B3" s="258">
        <v>188</v>
      </c>
      <c r="C3" s="324" t="s">
        <v>612</v>
      </c>
      <c r="D3" s="324" t="s">
        <v>613</v>
      </c>
      <c r="E3" s="305" t="s">
        <v>623</v>
      </c>
      <c r="F3" s="301">
        <v>44167</v>
      </c>
      <c r="G3" s="243" t="s">
        <v>24</v>
      </c>
      <c r="H3" s="247" t="s">
        <v>614</v>
      </c>
      <c r="I3" s="305" t="s">
        <v>615</v>
      </c>
      <c r="J3" s="305" t="s">
        <v>616</v>
      </c>
      <c r="K3" s="247">
        <v>8300</v>
      </c>
      <c r="L3" s="305" t="s">
        <v>5</v>
      </c>
      <c r="M3" s="305" t="s">
        <v>5</v>
      </c>
      <c r="N3" s="305">
        <v>2994066431</v>
      </c>
      <c r="O3" s="305"/>
      <c r="P3" s="243" t="e">
        <f>DATEDIF(R3,#REF!,"Y")</f>
        <v>#REF!</v>
      </c>
      <c r="Q3" s="305"/>
      <c r="R3" s="322">
        <v>34933</v>
      </c>
      <c r="S3" s="305"/>
      <c r="T3" s="243" t="e">
        <f>DATEDIF(F3,#REF!,"MD")</f>
        <v>#REF!</v>
      </c>
      <c r="U3" s="243" t="e">
        <f>DATEDIF(F3,#REF!,"YM")</f>
        <v>#REF!</v>
      </c>
      <c r="V3" s="243" t="e">
        <f>DATEDIF(F3,#REF!,"Y")</f>
        <v>#REF!</v>
      </c>
      <c r="W3" s="305"/>
      <c r="X3" s="305"/>
      <c r="Y3" s="305" t="s">
        <v>216</v>
      </c>
      <c r="Z3" s="305"/>
      <c r="AA3" s="305"/>
      <c r="AB3" s="305"/>
      <c r="AC3" s="247"/>
      <c r="AD3" s="247"/>
      <c r="AE3" s="305"/>
      <c r="AF3" s="247"/>
      <c r="AG3" s="305"/>
      <c r="AH3" s="305"/>
      <c r="AI3" s="305"/>
      <c r="AJ3" s="305"/>
      <c r="AK3" s="362"/>
      <c r="AL3" s="243"/>
    </row>
    <row r="4" spans="1:38" s="12" customFormat="1" ht="15" customHeight="1" x14ac:dyDescent="0.35">
      <c r="A4" s="354">
        <v>44225</v>
      </c>
      <c r="B4" s="258">
        <v>175</v>
      </c>
      <c r="C4" s="255" t="s">
        <v>527</v>
      </c>
      <c r="D4" s="324" t="s">
        <v>528</v>
      </c>
      <c r="E4" s="324" t="s">
        <v>649</v>
      </c>
      <c r="F4" s="301">
        <v>43682</v>
      </c>
      <c r="G4" s="248" t="s">
        <v>24</v>
      </c>
      <c r="H4" s="247" t="s">
        <v>509</v>
      </c>
      <c r="I4" s="305" t="s">
        <v>510</v>
      </c>
      <c r="J4" s="305" t="s">
        <v>529</v>
      </c>
      <c r="K4" s="247">
        <v>8316</v>
      </c>
      <c r="L4" s="305" t="s">
        <v>4</v>
      </c>
      <c r="M4" s="305" t="s">
        <v>5</v>
      </c>
      <c r="N4" s="243">
        <v>2994068863</v>
      </c>
      <c r="O4" s="305"/>
      <c r="P4" s="243" t="e">
        <f>DATEDIF(R4,#REF!,"Y")</f>
        <v>#REF!</v>
      </c>
      <c r="Q4" s="305"/>
      <c r="R4" s="322">
        <v>23827</v>
      </c>
      <c r="S4" s="305"/>
      <c r="T4" s="251" t="e">
        <f>DATEDIF(F4,#REF!,"MD")</f>
        <v>#REF!</v>
      </c>
      <c r="U4" s="251" t="e">
        <f>DATEDIF(F4,#REF!,"YM")</f>
        <v>#REF!</v>
      </c>
      <c r="V4" s="251" t="e">
        <f>DATEDIF(F4,#REF!,"Y")</f>
        <v>#REF!</v>
      </c>
      <c r="W4" s="305"/>
      <c r="X4" s="305"/>
      <c r="Y4" s="305" t="s">
        <v>216</v>
      </c>
      <c r="Z4" s="305"/>
      <c r="AA4" s="345"/>
      <c r="AB4" s="264"/>
      <c r="AC4" s="253"/>
      <c r="AD4" s="264"/>
      <c r="AE4" s="305"/>
      <c r="AF4" s="305"/>
      <c r="AG4" s="305"/>
      <c r="AH4" s="324"/>
      <c r="AI4" s="262"/>
      <c r="AJ4" s="313"/>
    </row>
    <row r="5" spans="1:38" s="12" customFormat="1" ht="15" customHeight="1" x14ac:dyDescent="0.35">
      <c r="A5" s="354">
        <v>44238</v>
      </c>
      <c r="B5" s="258">
        <v>166</v>
      </c>
      <c r="C5" s="255" t="s">
        <v>500</v>
      </c>
      <c r="D5" s="324" t="s">
        <v>501</v>
      </c>
      <c r="E5" s="324" t="s">
        <v>649</v>
      </c>
      <c r="F5" s="301">
        <v>43617</v>
      </c>
      <c r="G5" s="248" t="s">
        <v>25</v>
      </c>
      <c r="H5" s="247" t="s">
        <v>95</v>
      </c>
      <c r="I5" s="305" t="s">
        <v>219</v>
      </c>
      <c r="J5" s="305" t="s">
        <v>602</v>
      </c>
      <c r="K5" s="247">
        <v>8322</v>
      </c>
      <c r="L5" s="305" t="s">
        <v>381</v>
      </c>
      <c r="M5" s="305" t="s">
        <v>5</v>
      </c>
      <c r="N5" s="243">
        <v>2995700082</v>
      </c>
      <c r="O5" s="305"/>
      <c r="P5" s="243" t="e">
        <f>DATEDIF(R5,#REF!,"Y")</f>
        <v>#REF!</v>
      </c>
      <c r="Q5" s="305"/>
      <c r="R5" s="322">
        <v>34491</v>
      </c>
      <c r="S5" s="305"/>
      <c r="T5" s="251" t="e">
        <f>DATEDIF(F5,#REF!,"MD")</f>
        <v>#REF!</v>
      </c>
      <c r="U5" s="251" t="e">
        <f>DATEDIF(F5,#REF!,"YM")</f>
        <v>#REF!</v>
      </c>
      <c r="V5" s="251" t="e">
        <f>DATEDIF(F5,#REF!,"Y")</f>
        <v>#REF!</v>
      </c>
      <c r="W5" s="305" t="s">
        <v>98</v>
      </c>
      <c r="X5" s="305" t="s">
        <v>98</v>
      </c>
      <c r="Y5" s="305" t="s">
        <v>495</v>
      </c>
      <c r="Z5" s="305"/>
      <c r="AA5" s="345" t="s">
        <v>348</v>
      </c>
      <c r="AB5" s="323">
        <v>45814</v>
      </c>
      <c r="AC5" s="253" t="s">
        <v>348</v>
      </c>
      <c r="AD5" s="323">
        <v>44347</v>
      </c>
      <c r="AE5" s="305"/>
      <c r="AF5" s="305"/>
      <c r="AG5" s="305"/>
      <c r="AH5" s="324" t="s">
        <v>357</v>
      </c>
      <c r="AI5" s="321">
        <v>43602</v>
      </c>
      <c r="AJ5" s="313">
        <f>AI5+365</f>
        <v>43967</v>
      </c>
    </row>
    <row r="6" spans="1:38" s="12" customFormat="1" ht="15" customHeight="1" x14ac:dyDescent="0.35">
      <c r="A6" s="354">
        <v>44246</v>
      </c>
      <c r="B6" s="258">
        <v>153</v>
      </c>
      <c r="C6" s="255" t="s">
        <v>462</v>
      </c>
      <c r="D6" s="259">
        <v>20396502799</v>
      </c>
      <c r="E6" s="259" t="s">
        <v>649</v>
      </c>
      <c r="F6" s="244">
        <v>43374</v>
      </c>
      <c r="G6" s="248" t="s">
        <v>25</v>
      </c>
      <c r="H6" s="249" t="s">
        <v>69</v>
      </c>
      <c r="I6" s="250" t="s">
        <v>574</v>
      </c>
      <c r="J6" s="250" t="s">
        <v>601</v>
      </c>
      <c r="K6" s="249">
        <v>8324</v>
      </c>
      <c r="L6" s="250" t="s">
        <v>2</v>
      </c>
      <c r="M6" s="250" t="s">
        <v>3</v>
      </c>
      <c r="N6" s="250">
        <v>2994653179</v>
      </c>
      <c r="O6" s="305"/>
      <c r="P6" s="243" t="e">
        <f>DATEDIF(R6,#REF!,"Y")</f>
        <v>#REF!</v>
      </c>
      <c r="Q6" s="305"/>
      <c r="R6" s="248">
        <v>35370</v>
      </c>
      <c r="S6" s="305"/>
      <c r="T6" s="251" t="e">
        <f>DATEDIF(F6,#REF!,"MD")</f>
        <v>#REF!</v>
      </c>
      <c r="U6" s="251" t="e">
        <f>DATEDIF(F6,#REF!,"YM")</f>
        <v>#REF!</v>
      </c>
      <c r="V6" s="251" t="e">
        <f>DATEDIF(F6,#REF!,"Y")</f>
        <v>#REF!</v>
      </c>
      <c r="W6" s="250" t="s">
        <v>98</v>
      </c>
      <c r="X6" s="250" t="s">
        <v>98</v>
      </c>
      <c r="Y6" s="250" t="s">
        <v>216</v>
      </c>
      <c r="Z6" s="250"/>
      <c r="AA6" s="253" t="s">
        <v>348</v>
      </c>
      <c r="AB6" s="252">
        <v>45231</v>
      </c>
      <c r="AC6" s="253" t="s">
        <v>348</v>
      </c>
      <c r="AD6" s="264">
        <v>44107</v>
      </c>
      <c r="AE6" s="253"/>
      <c r="AF6" s="250"/>
      <c r="AG6" s="254"/>
      <c r="AH6" s="255" t="s">
        <v>357</v>
      </c>
      <c r="AI6" s="256">
        <v>43739</v>
      </c>
      <c r="AJ6" s="313">
        <f>AI6+365</f>
        <v>44104</v>
      </c>
    </row>
    <row r="7" spans="1:38" s="229" customFormat="1" ht="15" customHeight="1" thickBot="1" x14ac:dyDescent="0.4">
      <c r="A7" s="354">
        <v>44253</v>
      </c>
      <c r="B7" s="266">
        <v>147</v>
      </c>
      <c r="C7" s="265" t="s">
        <v>447</v>
      </c>
      <c r="D7" s="268">
        <v>20314836104</v>
      </c>
      <c r="E7" s="268" t="s">
        <v>649</v>
      </c>
      <c r="F7" s="269">
        <v>43344</v>
      </c>
      <c r="G7" s="272" t="s">
        <v>25</v>
      </c>
      <c r="H7" s="273" t="s">
        <v>126</v>
      </c>
      <c r="I7" s="274" t="s">
        <v>70</v>
      </c>
      <c r="J7" s="274" t="s">
        <v>491</v>
      </c>
      <c r="K7" s="273">
        <v>8322</v>
      </c>
      <c r="L7" s="274" t="s">
        <v>381</v>
      </c>
      <c r="M7" s="274" t="s">
        <v>5</v>
      </c>
      <c r="N7" s="274" t="s">
        <v>460</v>
      </c>
      <c r="O7" s="363"/>
      <c r="P7" s="243" t="e">
        <f>DATEDIF(R7,#REF!,"Y")</f>
        <v>#REF!</v>
      </c>
      <c r="Q7" s="363"/>
      <c r="R7" s="272">
        <v>31158</v>
      </c>
      <c r="S7" s="363"/>
      <c r="T7" s="275" t="e">
        <f>DATEDIF(F7,#REF!,"MD")</f>
        <v>#REF!</v>
      </c>
      <c r="U7" s="275" t="e">
        <f>DATEDIF(F7,#REF!,"YM")</f>
        <v>#REF!</v>
      </c>
      <c r="V7" s="275" t="e">
        <f>DATEDIF(F7,#REF!,"Y")</f>
        <v>#REF!</v>
      </c>
      <c r="W7" s="274" t="s">
        <v>98</v>
      </c>
      <c r="X7" s="274" t="s">
        <v>98</v>
      </c>
      <c r="Y7" s="250" t="s">
        <v>495</v>
      </c>
      <c r="Z7" s="274"/>
      <c r="AA7" s="277" t="s">
        <v>348</v>
      </c>
      <c r="AB7" s="278">
        <v>44672</v>
      </c>
      <c r="AC7" s="277" t="s">
        <v>348</v>
      </c>
      <c r="AD7" s="278">
        <v>44390</v>
      </c>
      <c r="AE7" s="277"/>
      <c r="AF7" s="274"/>
      <c r="AG7" s="279"/>
      <c r="AH7" s="265" t="s">
        <v>357</v>
      </c>
      <c r="AI7" s="302">
        <v>44153</v>
      </c>
      <c r="AJ7" s="313">
        <f>AI7+365</f>
        <v>44518</v>
      </c>
    </row>
    <row r="8" spans="1:38" ht="16.5" thickTop="1" thickBot="1" x14ac:dyDescent="0.4">
      <c r="A8" s="354">
        <v>44258</v>
      </c>
      <c r="B8" s="258">
        <v>93</v>
      </c>
      <c r="C8" s="255" t="s">
        <v>105</v>
      </c>
      <c r="D8" s="259">
        <v>20304965380</v>
      </c>
      <c r="E8" s="268" t="s">
        <v>649</v>
      </c>
      <c r="F8" s="244">
        <v>41852</v>
      </c>
      <c r="G8" s="248" t="s">
        <v>25</v>
      </c>
      <c r="H8" s="249" t="s">
        <v>120</v>
      </c>
      <c r="I8" s="250" t="s">
        <v>70</v>
      </c>
      <c r="J8" s="250" t="s">
        <v>217</v>
      </c>
      <c r="K8" s="249">
        <v>8307</v>
      </c>
      <c r="L8" s="250" t="s">
        <v>37</v>
      </c>
      <c r="M8" s="250" t="s">
        <v>3</v>
      </c>
      <c r="N8" s="250" t="s">
        <v>315</v>
      </c>
      <c r="O8" s="243" t="s">
        <v>200</v>
      </c>
      <c r="P8" s="233" t="e">
        <f>DATEDIF(R8,#REF!,"Y")</f>
        <v>#REF!</v>
      </c>
      <c r="Q8" s="363"/>
      <c r="R8" s="248">
        <v>30765</v>
      </c>
      <c r="S8" s="363"/>
      <c r="T8" s="251" t="e">
        <f>DATEDIF(F8,#REF!,"MD")</f>
        <v>#REF!</v>
      </c>
      <c r="U8" s="251" t="e">
        <f>DATEDIF(F8,#REF!,"YM")</f>
        <v>#REF!</v>
      </c>
      <c r="V8" s="251" t="e">
        <f>DATEDIF(F8,#REF!,"Y")</f>
        <v>#REF!</v>
      </c>
      <c r="W8" s="250" t="s">
        <v>98</v>
      </c>
      <c r="X8" s="250" t="s">
        <v>98</v>
      </c>
      <c r="Y8" s="250" t="s">
        <v>31</v>
      </c>
      <c r="Z8" s="250"/>
      <c r="AA8" s="253" t="s">
        <v>348</v>
      </c>
      <c r="AB8" s="252">
        <v>46013</v>
      </c>
      <c r="AC8" s="253" t="s">
        <v>348</v>
      </c>
      <c r="AD8" s="252">
        <v>43912</v>
      </c>
      <c r="AE8" s="253"/>
      <c r="AF8" s="250"/>
      <c r="AG8" s="254"/>
      <c r="AH8" s="255" t="s">
        <v>355</v>
      </c>
      <c r="AI8" s="308">
        <v>43536</v>
      </c>
      <c r="AJ8" s="311">
        <f>AI8+365</f>
        <v>43901</v>
      </c>
    </row>
    <row r="9" spans="1:38" ht="16" thickTop="1" x14ac:dyDescent="0.35">
      <c r="A9" s="354">
        <v>44266</v>
      </c>
      <c r="B9" s="258">
        <v>172</v>
      </c>
      <c r="C9" s="255" t="s">
        <v>517</v>
      </c>
      <c r="D9" s="320" t="s">
        <v>518</v>
      </c>
      <c r="E9" s="268" t="s">
        <v>649</v>
      </c>
      <c r="F9" s="301">
        <v>43682</v>
      </c>
      <c r="G9" s="248" t="s">
        <v>25</v>
      </c>
      <c r="H9" s="247" t="s">
        <v>69</v>
      </c>
      <c r="I9" s="248" t="s">
        <v>573</v>
      </c>
      <c r="J9" s="305" t="s">
        <v>519</v>
      </c>
      <c r="K9" s="247">
        <v>8303</v>
      </c>
      <c r="L9" s="305" t="s">
        <v>360</v>
      </c>
      <c r="M9" s="305" t="s">
        <v>3</v>
      </c>
      <c r="N9" s="243">
        <v>2994111715</v>
      </c>
      <c r="P9" s="233" t="e">
        <f>DATEDIF(R9,#REF!,"Y")</f>
        <v>#REF!</v>
      </c>
      <c r="Q9" s="363"/>
      <c r="R9" s="322">
        <v>31849</v>
      </c>
      <c r="S9" s="363"/>
      <c r="T9" s="251" t="e">
        <f>DATEDIF(F9,#REF!,"MD")</f>
        <v>#REF!</v>
      </c>
      <c r="U9" s="251" t="e">
        <f>DATEDIF(F9,#REF!,"YM")</f>
        <v>#REF!</v>
      </c>
      <c r="V9" s="251" t="e">
        <f>DATEDIF(F9,#REF!,"Y")</f>
        <v>#REF!</v>
      </c>
      <c r="W9" s="305" t="s">
        <v>98</v>
      </c>
      <c r="X9" s="305" t="s">
        <v>98</v>
      </c>
      <c r="Y9" s="305" t="s">
        <v>31</v>
      </c>
      <c r="Z9" s="305"/>
      <c r="AA9" s="345" t="s">
        <v>348</v>
      </c>
      <c r="AB9" s="264">
        <v>44477</v>
      </c>
      <c r="AC9" s="253" t="s">
        <v>348</v>
      </c>
      <c r="AD9" s="264">
        <v>44416</v>
      </c>
      <c r="AE9" s="305"/>
      <c r="AF9" s="305"/>
      <c r="AG9" s="305"/>
      <c r="AH9" s="324" t="s">
        <v>357</v>
      </c>
      <c r="AI9" s="262">
        <v>43671</v>
      </c>
      <c r="AJ9" s="311">
        <f>AI9+365</f>
        <v>44036</v>
      </c>
    </row>
    <row r="10" spans="1:38" ht="16.5" customHeight="1" x14ac:dyDescent="0.35"/>
    <row r="13" spans="1:38" s="12" customFormat="1" ht="15" customHeight="1" x14ac:dyDescent="0.35">
      <c r="A13" s="247">
        <v>43</v>
      </c>
      <c r="B13" s="258">
        <v>192</v>
      </c>
      <c r="C13" s="255" t="s">
        <v>620</v>
      </c>
      <c r="D13" s="303">
        <v>49262167</v>
      </c>
      <c r="E13" s="259">
        <v>20492621677</v>
      </c>
      <c r="F13" s="259"/>
      <c r="G13" s="301">
        <v>44200</v>
      </c>
      <c r="H13" s="245" t="e">
        <f>DATEDIF(G13,#REF!,"Y")</f>
        <v>#REF!</v>
      </c>
      <c r="I13" s="246"/>
      <c r="J13" s="260" t="s">
        <v>84</v>
      </c>
      <c r="K13" s="248" t="s">
        <v>24</v>
      </c>
      <c r="L13" s="249" t="s">
        <v>618</v>
      </c>
      <c r="M13" s="250" t="s">
        <v>621</v>
      </c>
      <c r="N13" s="250" t="s">
        <v>622</v>
      </c>
      <c r="O13" s="249">
        <v>8300</v>
      </c>
      <c r="P13" s="250" t="s">
        <v>5</v>
      </c>
      <c r="Q13" s="250" t="s">
        <v>5</v>
      </c>
      <c r="R13" s="248">
        <v>34761</v>
      </c>
      <c r="S13" s="250">
        <v>2995242695</v>
      </c>
      <c r="T13" s="243"/>
      <c r="U13" s="243" t="e">
        <f>DATEDIF(R13,#REF!,"Y")</f>
        <v>#REF!</v>
      </c>
      <c r="V13" s="251" t="e">
        <f>DATEDIF(G13,#REF!,"MD")</f>
        <v>#REF!</v>
      </c>
      <c r="W13" s="251" t="e">
        <f>DATEDIF(G13,#REF!,"YM")</f>
        <v>#REF!</v>
      </c>
      <c r="X13" s="251" t="e">
        <f>DATEDIF(G13,#REF!,"Y")</f>
        <v>#REF!</v>
      </c>
      <c r="Y13" s="305"/>
      <c r="Z13" s="305"/>
      <c r="AA13" s="250"/>
      <c r="AB13" s="250"/>
      <c r="AC13" s="253"/>
      <c r="AD13" s="264"/>
      <c r="AE13" s="253"/>
      <c r="AF13" s="264"/>
      <c r="AG13" s="249"/>
      <c r="AH13" s="250"/>
      <c r="AI13" s="254"/>
      <c r="AJ13" s="324"/>
      <c r="AK13" s="256"/>
      <c r="AL13" s="313"/>
    </row>
    <row r="14" spans="1:38" s="12" customFormat="1" ht="15" customHeight="1" x14ac:dyDescent="0.35">
      <c r="A14" s="247">
        <v>48</v>
      </c>
      <c r="B14" s="258">
        <v>198</v>
      </c>
      <c r="C14" s="255" t="s">
        <v>645</v>
      </c>
      <c r="D14" s="303">
        <v>38791353</v>
      </c>
      <c r="E14" s="259">
        <v>20387913530</v>
      </c>
      <c r="F14" s="259" t="s">
        <v>646</v>
      </c>
      <c r="G14" s="301">
        <v>44256</v>
      </c>
      <c r="H14" s="245" t="e">
        <f>DATEDIF(G14,#REF!,"Y")</f>
        <v>#REF!</v>
      </c>
      <c r="I14" s="246" t="s">
        <v>383</v>
      </c>
      <c r="J14" s="260" t="s">
        <v>208</v>
      </c>
      <c r="K14" s="248" t="s">
        <v>25</v>
      </c>
      <c r="L14" s="249" t="s">
        <v>647</v>
      </c>
      <c r="M14" s="250" t="s">
        <v>662</v>
      </c>
      <c r="N14" s="250" t="s">
        <v>648</v>
      </c>
      <c r="O14" s="249">
        <v>8324</v>
      </c>
      <c r="P14" s="250" t="s">
        <v>2</v>
      </c>
      <c r="Q14" s="250" t="s">
        <v>3</v>
      </c>
      <c r="R14" s="248">
        <v>34758</v>
      </c>
      <c r="S14" s="250">
        <v>2996108821</v>
      </c>
      <c r="T14" s="243"/>
      <c r="U14" s="243" t="e">
        <f>DATEDIF(R14,#REF!,"Y")</f>
        <v>#REF!</v>
      </c>
      <c r="V14" s="251" t="e">
        <f>DATEDIF(G14,#REF!,"MD")</f>
        <v>#REF!</v>
      </c>
      <c r="W14" s="251" t="e">
        <f>DATEDIF(G14,#REF!,"YM")</f>
        <v>#REF!</v>
      </c>
      <c r="X14" s="251" t="e">
        <f>DATEDIF(G14,#REF!,"Y")</f>
        <v>#REF!</v>
      </c>
      <c r="Y14" s="305" t="s">
        <v>98</v>
      </c>
      <c r="Z14" s="305" t="s">
        <v>98</v>
      </c>
      <c r="AA14" s="250" t="s">
        <v>31</v>
      </c>
      <c r="AB14" s="250"/>
      <c r="AC14" s="253" t="s">
        <v>348</v>
      </c>
      <c r="AD14" s="264">
        <v>45716</v>
      </c>
      <c r="AE14" s="253"/>
      <c r="AF14" s="264">
        <v>44987</v>
      </c>
      <c r="AG14" s="249"/>
      <c r="AH14" s="250"/>
      <c r="AI14" s="254"/>
      <c r="AJ14" s="324" t="s">
        <v>357</v>
      </c>
      <c r="AK14" s="256">
        <v>44229</v>
      </c>
      <c r="AL14" s="313">
        <f>AK14+365</f>
        <v>44594</v>
      </c>
    </row>
    <row r="15" spans="1:38" s="12" customFormat="1" ht="15" customHeight="1" x14ac:dyDescent="0.35">
      <c r="A15" s="247">
        <v>50</v>
      </c>
      <c r="B15" s="258">
        <v>200</v>
      </c>
      <c r="C15" s="255" t="s">
        <v>664</v>
      </c>
      <c r="D15" s="303">
        <v>11843265</v>
      </c>
      <c r="E15" s="259" t="s">
        <v>665</v>
      </c>
      <c r="F15" s="259" t="s">
        <v>668</v>
      </c>
      <c r="G15" s="301">
        <v>44271</v>
      </c>
      <c r="H15" s="245" t="e">
        <f>DATEDIF(G15,#REF!,"Y")</f>
        <v>#REF!</v>
      </c>
      <c r="I15" s="246" t="s">
        <v>666</v>
      </c>
      <c r="J15" s="260" t="s">
        <v>84</v>
      </c>
      <c r="K15" s="248" t="s">
        <v>24</v>
      </c>
      <c r="L15" s="249" t="s">
        <v>618</v>
      </c>
      <c r="M15" s="250" t="s">
        <v>618</v>
      </c>
      <c r="N15" s="250" t="s">
        <v>667</v>
      </c>
      <c r="O15" s="249">
        <v>8300</v>
      </c>
      <c r="P15" s="250" t="s">
        <v>5</v>
      </c>
      <c r="Q15" s="250" t="s">
        <v>5</v>
      </c>
      <c r="R15" s="248">
        <v>20452</v>
      </c>
      <c r="S15" s="250"/>
      <c r="T15" s="243"/>
      <c r="U15" s="243" t="e">
        <f>DATEDIF(R15,#REF!,"Y")</f>
        <v>#REF!</v>
      </c>
      <c r="V15" s="251" t="e">
        <f>DATEDIF(G15,#REF!,"MD")</f>
        <v>#REF!</v>
      </c>
      <c r="W15" s="251" t="e">
        <f>DATEDIF(G15,#REF!,"YM")</f>
        <v>#REF!</v>
      </c>
      <c r="X15" s="251" t="e">
        <f>DATEDIF(G15,#REF!,"Y")</f>
        <v>#REF!</v>
      </c>
      <c r="Y15" s="305"/>
      <c r="Z15" s="305"/>
      <c r="AA15" s="250"/>
      <c r="AB15" s="250"/>
      <c r="AC15" s="253"/>
      <c r="AD15" s="264"/>
      <c r="AE15" s="253"/>
      <c r="AF15" s="264"/>
      <c r="AG15" s="249"/>
      <c r="AH15" s="250"/>
      <c r="AI15" s="254"/>
      <c r="AJ15" s="324"/>
      <c r="AK15" s="256"/>
      <c r="AL15" s="313"/>
    </row>
    <row r="16" spans="1:38" s="12" customFormat="1" ht="15" customHeight="1" thickBot="1" x14ac:dyDescent="0.4">
      <c r="A16" s="247">
        <v>49</v>
      </c>
      <c r="B16" s="258">
        <v>201</v>
      </c>
      <c r="C16" s="255" t="s">
        <v>660</v>
      </c>
      <c r="D16" s="303">
        <v>21380735</v>
      </c>
      <c r="E16" s="259" t="s">
        <v>661</v>
      </c>
      <c r="F16" s="259" t="s">
        <v>562</v>
      </c>
      <c r="G16" s="301">
        <v>44298</v>
      </c>
      <c r="H16" s="245" t="e">
        <f>DATEDIF(G16,#REF!,"Y")</f>
        <v>#REF!</v>
      </c>
      <c r="I16" s="246" t="s">
        <v>383</v>
      </c>
      <c r="J16" s="260" t="s">
        <v>208</v>
      </c>
      <c r="K16" s="248" t="s">
        <v>25</v>
      </c>
      <c r="L16" s="249" t="s">
        <v>657</v>
      </c>
      <c r="M16" s="250" t="s">
        <v>219</v>
      </c>
      <c r="N16" s="250" t="s">
        <v>663</v>
      </c>
      <c r="O16" s="249">
        <v>8303</v>
      </c>
      <c r="P16" s="250" t="s">
        <v>360</v>
      </c>
      <c r="Q16" s="250" t="s">
        <v>3</v>
      </c>
      <c r="R16" s="248">
        <v>25663</v>
      </c>
      <c r="S16" s="250">
        <v>2995330795</v>
      </c>
      <c r="T16" s="243"/>
      <c r="U16" s="243" t="e">
        <f>DATEDIF(R16,#REF!,"Y")</f>
        <v>#REF!</v>
      </c>
      <c r="V16" s="251" t="e">
        <f>DATEDIF(G16,#REF!,"MD")</f>
        <v>#REF!</v>
      </c>
      <c r="W16" s="251" t="e">
        <f>DATEDIF(G16,#REF!,"YM")</f>
        <v>#REF!</v>
      </c>
      <c r="X16" s="251" t="e">
        <f>DATEDIF(G16,#REF!,"Y")</f>
        <v>#REF!</v>
      </c>
      <c r="Y16" s="305" t="s">
        <v>98</v>
      </c>
      <c r="Z16" s="305" t="s">
        <v>98</v>
      </c>
      <c r="AA16" s="250" t="s">
        <v>31</v>
      </c>
      <c r="AB16" s="250"/>
      <c r="AC16" s="253" t="s">
        <v>348</v>
      </c>
      <c r="AD16" s="264">
        <v>44548</v>
      </c>
      <c r="AE16" s="253" t="s">
        <v>348</v>
      </c>
      <c r="AF16" s="264">
        <v>45025</v>
      </c>
      <c r="AG16" s="249"/>
      <c r="AH16" s="250"/>
      <c r="AI16" s="254"/>
      <c r="AJ16" s="324" t="s">
        <v>357</v>
      </c>
      <c r="AK16" s="364">
        <v>44286</v>
      </c>
      <c r="AL16" s="313">
        <f t="shared" ref="AL16:AL21" si="0">AK16+365</f>
        <v>44651</v>
      </c>
    </row>
    <row r="17" spans="1:38" s="12" customFormat="1" ht="15" customHeight="1" thickTop="1" thickBot="1" x14ac:dyDescent="0.4">
      <c r="A17" s="247">
        <v>14</v>
      </c>
      <c r="B17" s="258">
        <v>128</v>
      </c>
      <c r="C17" s="255" t="s">
        <v>373</v>
      </c>
      <c r="D17" s="303">
        <v>28019971</v>
      </c>
      <c r="E17" s="259">
        <v>20280199711</v>
      </c>
      <c r="F17" s="259" t="s">
        <v>563</v>
      </c>
      <c r="G17" s="244">
        <v>43171</v>
      </c>
      <c r="H17" s="245" t="e">
        <f>DATEDIF(G17,#REF!,"Y")</f>
        <v>#REF!</v>
      </c>
      <c r="I17" s="246">
        <v>127901</v>
      </c>
      <c r="J17" s="260" t="s">
        <v>208</v>
      </c>
      <c r="K17" s="248" t="s">
        <v>25</v>
      </c>
      <c r="L17" s="249" t="s">
        <v>227</v>
      </c>
      <c r="M17" s="250" t="s">
        <v>70</v>
      </c>
      <c r="N17" s="250" t="s">
        <v>375</v>
      </c>
      <c r="O17" s="249">
        <v>8316</v>
      </c>
      <c r="P17" s="250" t="s">
        <v>4</v>
      </c>
      <c r="Q17" s="250" t="s">
        <v>5</v>
      </c>
      <c r="R17" s="248">
        <v>29418</v>
      </c>
      <c r="S17" s="250" t="s">
        <v>408</v>
      </c>
      <c r="T17" s="243" t="s">
        <v>376</v>
      </c>
      <c r="U17" s="233" t="e">
        <f>DATEDIF(R17,#REF!,"Y")</f>
        <v>#REF!</v>
      </c>
      <c r="V17" s="251" t="e">
        <f>DATEDIF(G17,#REF!,"MD")</f>
        <v>#REF!</v>
      </c>
      <c r="W17" s="251" t="e">
        <f>DATEDIF(G17,#REF!,"YM")</f>
        <v>#REF!</v>
      </c>
      <c r="X17" s="251" t="e">
        <f>DATEDIF(G17,#REF!,"Y")</f>
        <v>#REF!</v>
      </c>
      <c r="Y17" s="250" t="s">
        <v>98</v>
      </c>
      <c r="Z17" s="250" t="s">
        <v>98</v>
      </c>
      <c r="AA17" s="250" t="s">
        <v>495</v>
      </c>
      <c r="AB17" s="250"/>
      <c r="AC17" s="253" t="s">
        <v>348</v>
      </c>
      <c r="AD17" s="261">
        <v>46027</v>
      </c>
      <c r="AE17" s="253" t="s">
        <v>348</v>
      </c>
      <c r="AF17" s="264">
        <v>44856</v>
      </c>
      <c r="AG17" s="253"/>
      <c r="AH17" s="250"/>
      <c r="AI17" s="254"/>
      <c r="AJ17" s="255" t="s">
        <v>355</v>
      </c>
      <c r="AK17" s="256">
        <v>44270</v>
      </c>
      <c r="AL17" s="311">
        <f t="shared" si="0"/>
        <v>44635</v>
      </c>
    </row>
    <row r="18" spans="1:38" s="12" customFormat="1" ht="15" customHeight="1" thickTop="1" x14ac:dyDescent="0.35">
      <c r="A18" s="247">
        <v>33</v>
      </c>
      <c r="B18" s="258">
        <v>174</v>
      </c>
      <c r="C18" s="255" t="s">
        <v>523</v>
      </c>
      <c r="D18" s="303">
        <v>30225623</v>
      </c>
      <c r="E18" s="320" t="s">
        <v>524</v>
      </c>
      <c r="F18" s="320"/>
      <c r="G18" s="301">
        <v>43682</v>
      </c>
      <c r="H18" s="245" t="e">
        <f>DATEDIF(G18,#REF!,"Y")</f>
        <v>#REF!</v>
      </c>
      <c r="I18" s="246"/>
      <c r="J18" s="260" t="s">
        <v>207</v>
      </c>
      <c r="K18" s="248" t="s">
        <v>12</v>
      </c>
      <c r="L18" s="247" t="s">
        <v>239</v>
      </c>
      <c r="M18" s="305" t="s">
        <v>525</v>
      </c>
      <c r="N18" s="305" t="s">
        <v>526</v>
      </c>
      <c r="O18" s="247">
        <v>8316</v>
      </c>
      <c r="P18" s="305" t="s">
        <v>4</v>
      </c>
      <c r="Q18" s="305" t="s">
        <v>5</v>
      </c>
      <c r="R18" s="322">
        <v>30549</v>
      </c>
      <c r="S18" s="243">
        <v>2994182771</v>
      </c>
      <c r="T18" s="305"/>
      <c r="U18" s="233" t="e">
        <f>DATEDIF(R18,#REF!,"Y")</f>
        <v>#REF!</v>
      </c>
      <c r="V18" s="251" t="e">
        <f>DATEDIF(G18,#REF!,"MD")</f>
        <v>#REF!</v>
      </c>
      <c r="W18" s="251" t="e">
        <f>DATEDIF(G18,#REF!,"YM")</f>
        <v>#REF!</v>
      </c>
      <c r="X18" s="251" t="e">
        <f>DATEDIF(G18,#REF!,"Y")</f>
        <v>#REF!</v>
      </c>
      <c r="Y18" s="305"/>
      <c r="Z18" s="305"/>
      <c r="AA18" s="305" t="s">
        <v>31</v>
      </c>
      <c r="AB18" s="305"/>
      <c r="AC18" s="345" t="s">
        <v>348</v>
      </c>
      <c r="AD18" s="264">
        <v>44828</v>
      </c>
      <c r="AE18" s="253" t="s">
        <v>348</v>
      </c>
      <c r="AF18" s="264">
        <v>44436</v>
      </c>
      <c r="AG18" s="305"/>
      <c r="AH18" s="305"/>
      <c r="AI18" s="305"/>
      <c r="AJ18" s="324" t="s">
        <v>357</v>
      </c>
      <c r="AK18" s="262">
        <v>44134</v>
      </c>
      <c r="AL18" s="311">
        <f t="shared" si="0"/>
        <v>44499</v>
      </c>
    </row>
    <row r="19" spans="1:38" s="12" customFormat="1" ht="15" customHeight="1" thickBot="1" x14ac:dyDescent="0.4">
      <c r="A19" s="247">
        <v>47</v>
      </c>
      <c r="B19" s="258">
        <v>202</v>
      </c>
      <c r="C19" s="255" t="s">
        <v>655</v>
      </c>
      <c r="D19" s="303">
        <v>35968749</v>
      </c>
      <c r="E19" s="259" t="s">
        <v>656</v>
      </c>
      <c r="F19" s="259" t="s">
        <v>562</v>
      </c>
      <c r="G19" s="301">
        <v>44298</v>
      </c>
      <c r="H19" s="245" t="e">
        <f>DATEDIF(G19,#REF!,"Y")</f>
        <v>#REF!</v>
      </c>
      <c r="I19" s="246" t="s">
        <v>383</v>
      </c>
      <c r="J19" s="260" t="s">
        <v>208</v>
      </c>
      <c r="K19" s="248" t="s">
        <v>25</v>
      </c>
      <c r="L19" s="249" t="s">
        <v>657</v>
      </c>
      <c r="M19" s="250" t="s">
        <v>219</v>
      </c>
      <c r="N19" s="250" t="s">
        <v>658</v>
      </c>
      <c r="O19" s="249">
        <v>8320</v>
      </c>
      <c r="P19" s="250" t="s">
        <v>659</v>
      </c>
      <c r="Q19" s="250" t="s">
        <v>5</v>
      </c>
      <c r="R19" s="248">
        <v>33229</v>
      </c>
      <c r="S19" s="250">
        <v>2995477540</v>
      </c>
      <c r="T19" s="243"/>
      <c r="U19" s="243" t="e">
        <f>DATEDIF(R19,#REF!,"Y")</f>
        <v>#REF!</v>
      </c>
      <c r="V19" s="251" t="e">
        <f>DATEDIF(G19,#REF!,"MD")</f>
        <v>#REF!</v>
      </c>
      <c r="W19" s="251" t="e">
        <f>DATEDIF(G19,#REF!,"YM")</f>
        <v>#REF!</v>
      </c>
      <c r="X19" s="251" t="e">
        <f>DATEDIF(G19,#REF!,"Y")</f>
        <v>#REF!</v>
      </c>
      <c r="Y19" s="305" t="s">
        <v>98</v>
      </c>
      <c r="Z19" s="305" t="s">
        <v>98</v>
      </c>
      <c r="AA19" s="250" t="s">
        <v>31</v>
      </c>
      <c r="AB19" s="250"/>
      <c r="AC19" s="253" t="s">
        <v>348</v>
      </c>
      <c r="AD19" s="264">
        <v>44966</v>
      </c>
      <c r="AE19" s="253" t="s">
        <v>348</v>
      </c>
      <c r="AF19" s="264">
        <v>45025</v>
      </c>
      <c r="AG19" s="249"/>
      <c r="AH19" s="250"/>
      <c r="AI19" s="254"/>
      <c r="AJ19" s="324" t="s">
        <v>357</v>
      </c>
      <c r="AK19" s="256">
        <v>44286</v>
      </c>
      <c r="AL19" s="313">
        <f t="shared" si="0"/>
        <v>44651</v>
      </c>
    </row>
    <row r="20" spans="1:38" s="12" customFormat="1" ht="15" customHeight="1" thickTop="1" x14ac:dyDescent="0.35">
      <c r="A20" s="247">
        <v>13</v>
      </c>
      <c r="B20" s="258">
        <v>127</v>
      </c>
      <c r="C20" s="255" t="s">
        <v>371</v>
      </c>
      <c r="D20" s="303">
        <v>36606609</v>
      </c>
      <c r="E20" s="259">
        <v>20366066099</v>
      </c>
      <c r="F20" s="259" t="s">
        <v>562</v>
      </c>
      <c r="G20" s="244">
        <v>43171</v>
      </c>
      <c r="H20" s="245" t="e">
        <f>DATEDIF(G20,#REF!,"Y")</f>
        <v>#REF!</v>
      </c>
      <c r="I20" s="246">
        <v>127901</v>
      </c>
      <c r="J20" s="260" t="s">
        <v>208</v>
      </c>
      <c r="K20" s="248" t="s">
        <v>25</v>
      </c>
      <c r="L20" s="249" t="s">
        <v>81</v>
      </c>
      <c r="M20" s="250" t="s">
        <v>575</v>
      </c>
      <c r="N20" s="250" t="s">
        <v>372</v>
      </c>
      <c r="O20" s="249">
        <v>8305</v>
      </c>
      <c r="P20" s="250" t="s">
        <v>211</v>
      </c>
      <c r="Q20" s="250" t="s">
        <v>3</v>
      </c>
      <c r="R20" s="248">
        <v>33627</v>
      </c>
      <c r="S20" s="250">
        <v>2995940532</v>
      </c>
      <c r="T20" s="243"/>
      <c r="U20" s="233" t="e">
        <f>DATEDIF(R20,#REF!,"Y")</f>
        <v>#REF!</v>
      </c>
      <c r="V20" s="251" t="e">
        <f>DATEDIF(G20,#REF!,"MD")</f>
        <v>#REF!</v>
      </c>
      <c r="W20" s="251" t="e">
        <f>DATEDIF(G20,#REF!,"YM")</f>
        <v>#REF!</v>
      </c>
      <c r="X20" s="251" t="e">
        <f>DATEDIF(G20,#REF!,"Y")</f>
        <v>#REF!</v>
      </c>
      <c r="Y20" s="250" t="s">
        <v>98</v>
      </c>
      <c r="Z20" s="250" t="s">
        <v>98</v>
      </c>
      <c r="AA20" s="250" t="s">
        <v>31</v>
      </c>
      <c r="AB20" s="250"/>
      <c r="AC20" s="253" t="s">
        <v>348</v>
      </c>
      <c r="AD20" s="252">
        <v>44735</v>
      </c>
      <c r="AE20" s="253" t="s">
        <v>348</v>
      </c>
      <c r="AF20" s="252">
        <v>44525</v>
      </c>
      <c r="AG20" s="253"/>
      <c r="AH20" s="250"/>
      <c r="AI20" s="254"/>
      <c r="AJ20" s="255" t="s">
        <v>355</v>
      </c>
      <c r="AK20" s="308">
        <v>44305</v>
      </c>
      <c r="AL20" s="311">
        <f t="shared" si="0"/>
        <v>44670</v>
      </c>
    </row>
    <row r="21" spans="1:38" s="12" customFormat="1" ht="15" customHeight="1" x14ac:dyDescent="0.35">
      <c r="A21" s="247">
        <v>50</v>
      </c>
      <c r="B21" s="258">
        <v>210</v>
      </c>
      <c r="C21" s="324" t="s">
        <v>676</v>
      </c>
      <c r="D21" s="303">
        <v>38204442</v>
      </c>
      <c r="E21" s="324" t="s">
        <v>677</v>
      </c>
      <c r="F21" s="324" t="s">
        <v>562</v>
      </c>
      <c r="G21" s="301">
        <v>44382</v>
      </c>
      <c r="H21" s="247" t="e">
        <f>DATEDIF(G21,#REF!,"Y")</f>
        <v>#REF!</v>
      </c>
      <c r="I21" s="365"/>
      <c r="J21" s="247" t="s">
        <v>208</v>
      </c>
      <c r="K21" s="243" t="s">
        <v>25</v>
      </c>
      <c r="L21" s="247" t="s">
        <v>26</v>
      </c>
      <c r="M21" s="305" t="s">
        <v>680</v>
      </c>
      <c r="N21" s="305" t="s">
        <v>682</v>
      </c>
      <c r="O21" s="247">
        <v>8300</v>
      </c>
      <c r="P21" s="305" t="s">
        <v>5</v>
      </c>
      <c r="Q21" s="305" t="s">
        <v>5</v>
      </c>
      <c r="R21" s="322">
        <v>34491</v>
      </c>
      <c r="S21" s="243">
        <v>2994530034</v>
      </c>
      <c r="T21" s="305"/>
      <c r="U21" s="243" t="e">
        <f>DATEDIF(R21,#REF!,"Y")</f>
        <v>#REF!</v>
      </c>
      <c r="V21" s="251" t="e">
        <f>DATEDIF(G21,#REF!,"MD")</f>
        <v>#REF!</v>
      </c>
      <c r="W21" s="251" t="e">
        <f>DATEDIF(G21,#REF!,"YM")</f>
        <v>#REF!</v>
      </c>
      <c r="X21" s="251" t="e">
        <f>DATEDIF(G21,#REF!,"Y")</f>
        <v>#REF!</v>
      </c>
      <c r="Y21" s="305" t="s">
        <v>683</v>
      </c>
      <c r="Z21" s="305" t="s">
        <v>683</v>
      </c>
      <c r="AA21" s="305"/>
      <c r="AB21" s="305"/>
      <c r="AC21" s="366" t="s">
        <v>367</v>
      </c>
      <c r="AD21" s="323">
        <v>46218</v>
      </c>
      <c r="AE21" s="366" t="s">
        <v>367</v>
      </c>
      <c r="AF21" s="247"/>
      <c r="AG21" s="305"/>
      <c r="AH21" s="305"/>
      <c r="AI21" s="305"/>
      <c r="AJ21" s="324" t="s">
        <v>357</v>
      </c>
      <c r="AK21" s="262">
        <v>44357</v>
      </c>
      <c r="AL21" s="346">
        <f t="shared" si="0"/>
        <v>44722</v>
      </c>
    </row>
    <row r="22" spans="1:38" s="12" customFormat="1" ht="15" customHeight="1" x14ac:dyDescent="0.35">
      <c r="A22" s="247">
        <v>35</v>
      </c>
      <c r="B22" s="258">
        <v>190</v>
      </c>
      <c r="C22" s="255" t="s">
        <v>592</v>
      </c>
      <c r="D22" s="303">
        <v>36191918</v>
      </c>
      <c r="E22" s="259" t="s">
        <v>593</v>
      </c>
      <c r="F22" s="259" t="s">
        <v>562</v>
      </c>
      <c r="G22" s="301">
        <v>44075</v>
      </c>
      <c r="H22" s="245" t="e">
        <f>DATEDIF(G22,#REF!,"Y")</f>
        <v>#REF!</v>
      </c>
      <c r="I22" s="246"/>
      <c r="J22" s="260" t="s">
        <v>207</v>
      </c>
      <c r="K22" s="248" t="s">
        <v>12</v>
      </c>
      <c r="L22" s="249" t="s">
        <v>239</v>
      </c>
      <c r="M22" s="305" t="s">
        <v>685</v>
      </c>
      <c r="N22" s="250" t="s">
        <v>594</v>
      </c>
      <c r="O22" s="249">
        <v>8322</v>
      </c>
      <c r="P22" s="250" t="s">
        <v>595</v>
      </c>
      <c r="Q22" s="250" t="s">
        <v>5</v>
      </c>
      <c r="R22" s="248">
        <v>33385</v>
      </c>
      <c r="S22" s="250">
        <v>2994663930</v>
      </c>
      <c r="T22" s="243"/>
      <c r="U22" s="243" t="e">
        <f>DATEDIF(R22,#REF!,"Y")</f>
        <v>#REF!</v>
      </c>
      <c r="V22" s="251" t="e">
        <f>DATEDIF(G22,#REF!,"MD")</f>
        <v>#REF!</v>
      </c>
      <c r="W22" s="251" t="e">
        <f>DATEDIF(G22,#REF!,"YM")</f>
        <v>#REF!</v>
      </c>
      <c r="X22" s="251" t="e">
        <f>DATEDIF(G22,#REF!,"Y")</f>
        <v>#REF!</v>
      </c>
      <c r="Y22" s="250" t="s">
        <v>225</v>
      </c>
      <c r="Z22" s="250" t="s">
        <v>225</v>
      </c>
      <c r="AA22" s="250" t="s">
        <v>31</v>
      </c>
      <c r="AB22" s="250"/>
      <c r="AC22" s="253" t="s">
        <v>348</v>
      </c>
      <c r="AD22" s="264">
        <v>44938</v>
      </c>
      <c r="AE22" s="253" t="s">
        <v>348</v>
      </c>
      <c r="AF22" s="264">
        <v>44966</v>
      </c>
      <c r="AG22" s="249"/>
      <c r="AH22" s="250"/>
      <c r="AI22" s="254"/>
      <c r="AJ22" s="255" t="s">
        <v>355</v>
      </c>
      <c r="AK22" s="256">
        <v>44067</v>
      </c>
      <c r="AL22" s="313">
        <f>AK22+365</f>
        <v>44432</v>
      </c>
    </row>
    <row r="23" spans="1:38" s="12" customFormat="1" ht="15" customHeight="1" x14ac:dyDescent="0.35">
      <c r="A23" s="247">
        <v>39</v>
      </c>
      <c r="B23" s="258">
        <v>195</v>
      </c>
      <c r="C23" s="255" t="s">
        <v>608</v>
      </c>
      <c r="D23" s="303">
        <v>21741269</v>
      </c>
      <c r="E23" s="259" t="s">
        <v>609</v>
      </c>
      <c r="F23" s="259" t="s">
        <v>562</v>
      </c>
      <c r="G23" s="301">
        <v>44174</v>
      </c>
      <c r="H23" s="245" t="e">
        <f>DATEDIF(G23,#REF!,"Y")</f>
        <v>#REF!</v>
      </c>
      <c r="I23" s="246"/>
      <c r="J23" s="260" t="s">
        <v>207</v>
      </c>
      <c r="K23" s="248" t="s">
        <v>12</v>
      </c>
      <c r="L23" s="249" t="s">
        <v>239</v>
      </c>
      <c r="M23" s="250" t="s">
        <v>610</v>
      </c>
      <c r="N23" s="250" t="s">
        <v>611</v>
      </c>
      <c r="O23" s="249">
        <v>8303</v>
      </c>
      <c r="P23" s="250" t="s">
        <v>360</v>
      </c>
      <c r="Q23" s="250" t="s">
        <v>3</v>
      </c>
      <c r="R23" s="248">
        <v>25844</v>
      </c>
      <c r="S23" s="250">
        <v>2995019951</v>
      </c>
      <c r="T23" s="243"/>
      <c r="U23" s="243" t="e">
        <f>DATEDIF(R23,#REF!,"Y")</f>
        <v>#REF!</v>
      </c>
      <c r="V23" s="251" t="e">
        <f>DATEDIF(G23,#REF!,"MD")</f>
        <v>#REF!</v>
      </c>
      <c r="W23" s="251" t="e">
        <f>DATEDIF(G23,#REF!,"YM")</f>
        <v>#REF!</v>
      </c>
      <c r="X23" s="251" t="e">
        <f>DATEDIF(G23,#REF!,"Y")</f>
        <v>#REF!</v>
      </c>
      <c r="Y23" s="250" t="s">
        <v>225</v>
      </c>
      <c r="Z23" s="250" t="s">
        <v>225</v>
      </c>
      <c r="AA23" s="250" t="s">
        <v>31</v>
      </c>
      <c r="AB23" s="250"/>
      <c r="AC23" s="253" t="s">
        <v>348</v>
      </c>
      <c r="AD23" s="264">
        <v>44864</v>
      </c>
      <c r="AE23" s="253" t="s">
        <v>348</v>
      </c>
      <c r="AF23" s="264">
        <v>44940</v>
      </c>
      <c r="AG23" s="249"/>
      <c r="AH23" s="250"/>
      <c r="AI23" s="254"/>
      <c r="AJ23" s="324" t="s">
        <v>357</v>
      </c>
      <c r="AK23" s="256">
        <v>44162</v>
      </c>
      <c r="AL23" s="313">
        <f>AK23+365</f>
        <v>44527</v>
      </c>
    </row>
    <row r="24" spans="1:38" s="12" customFormat="1" ht="15" customHeight="1" x14ac:dyDescent="0.35">
      <c r="A24" s="247">
        <v>45</v>
      </c>
      <c r="B24" s="258">
        <v>204</v>
      </c>
      <c r="C24" s="255" t="s">
        <v>652</v>
      </c>
      <c r="D24" s="303">
        <v>95053623</v>
      </c>
      <c r="E24" s="259" t="s">
        <v>653</v>
      </c>
      <c r="F24" s="259"/>
      <c r="G24" s="301">
        <v>44256</v>
      </c>
      <c r="H24" s="245" t="e">
        <f>DATEDIF(G24,#REF!,"Y")</f>
        <v>#REF!</v>
      </c>
      <c r="I24" s="246"/>
      <c r="J24" s="260" t="s">
        <v>654</v>
      </c>
      <c r="K24" s="248"/>
      <c r="L24" s="249"/>
      <c r="M24" s="250"/>
      <c r="N24" s="250"/>
      <c r="O24" s="249">
        <v>8320</v>
      </c>
      <c r="P24" s="250" t="s">
        <v>659</v>
      </c>
      <c r="Q24" s="250" t="s">
        <v>5</v>
      </c>
      <c r="R24" s="248"/>
      <c r="S24" s="250"/>
      <c r="T24" s="243"/>
      <c r="U24" s="243" t="e">
        <f>DATEDIF(R24,#REF!,"Y")</f>
        <v>#REF!</v>
      </c>
      <c r="V24" s="251" t="e">
        <f>DATEDIF(G24,#REF!,"MD")</f>
        <v>#REF!</v>
      </c>
      <c r="W24" s="251" t="e">
        <f>DATEDIF(G24,#REF!,"YM")</f>
        <v>#REF!</v>
      </c>
      <c r="X24" s="251" t="e">
        <f>DATEDIF(G24,#REF!,"Y")</f>
        <v>#REF!</v>
      </c>
      <c r="Y24" s="305"/>
      <c r="Z24" s="305"/>
      <c r="AA24" s="250"/>
      <c r="AB24" s="250"/>
      <c r="AC24" s="253"/>
      <c r="AD24" s="264"/>
      <c r="AE24" s="253"/>
      <c r="AF24" s="264"/>
      <c r="AG24" s="249"/>
      <c r="AH24" s="250"/>
      <c r="AI24" s="254"/>
      <c r="AJ24" s="324"/>
      <c r="AK24" s="256"/>
      <c r="AL24" s="313"/>
    </row>
    <row r="25" spans="1:38" s="12" customFormat="1" ht="15" customHeight="1" thickBot="1" x14ac:dyDescent="0.4">
      <c r="A25" s="247">
        <v>33</v>
      </c>
      <c r="B25" s="258">
        <v>184</v>
      </c>
      <c r="C25" s="255" t="s">
        <v>550</v>
      </c>
      <c r="D25" s="303">
        <v>34615751</v>
      </c>
      <c r="E25" s="259" t="s">
        <v>551</v>
      </c>
      <c r="F25" s="259" t="s">
        <v>650</v>
      </c>
      <c r="G25" s="301">
        <v>43755</v>
      </c>
      <c r="H25" s="245" t="e">
        <f>DATEDIF(G25,#REF!,"Y")</f>
        <v>#REF!</v>
      </c>
      <c r="I25" s="246" t="s">
        <v>383</v>
      </c>
      <c r="J25" s="260" t="s">
        <v>208</v>
      </c>
      <c r="K25" s="248" t="s">
        <v>25</v>
      </c>
      <c r="L25" s="249" t="s">
        <v>95</v>
      </c>
      <c r="M25" s="305" t="s">
        <v>219</v>
      </c>
      <c r="N25" s="250" t="s">
        <v>552</v>
      </c>
      <c r="O25" s="249">
        <v>8300</v>
      </c>
      <c r="P25" s="250" t="s">
        <v>5</v>
      </c>
      <c r="Q25" s="250" t="s">
        <v>5</v>
      </c>
      <c r="R25" s="248">
        <v>32688</v>
      </c>
      <c r="S25" s="250">
        <v>2994276164</v>
      </c>
      <c r="T25" s="243"/>
      <c r="U25" s="243" t="e">
        <f>DATEDIF(R25,#REF!,"Y")</f>
        <v>#REF!</v>
      </c>
      <c r="V25" s="251" t="e">
        <f>DATEDIF(G25,#REF!,"MD")</f>
        <v>#REF!</v>
      </c>
      <c r="W25" s="251" t="e">
        <f>DATEDIF(G25,#REF!,"YM")</f>
        <v>#REF!</v>
      </c>
      <c r="X25" s="251" t="e">
        <f>DATEDIF(G25,#REF!,"Y")</f>
        <v>#REF!</v>
      </c>
      <c r="Y25" s="305" t="s">
        <v>98</v>
      </c>
      <c r="Z25" s="305" t="s">
        <v>98</v>
      </c>
      <c r="AA25" s="250" t="s">
        <v>216</v>
      </c>
      <c r="AB25" s="250"/>
      <c r="AC25" s="253" t="s">
        <v>348</v>
      </c>
      <c r="AD25" s="264">
        <v>45569</v>
      </c>
      <c r="AE25" s="253" t="s">
        <v>348</v>
      </c>
      <c r="AF25" s="264">
        <v>45031</v>
      </c>
      <c r="AG25" s="249"/>
      <c r="AH25" s="250"/>
      <c r="AI25" s="254"/>
      <c r="AJ25" s="255" t="s">
        <v>355</v>
      </c>
      <c r="AK25" s="256">
        <v>44305</v>
      </c>
      <c r="AL25" s="313">
        <f>AK25+365</f>
        <v>44670</v>
      </c>
    </row>
    <row r="26" spans="1:38" s="12" customFormat="1" ht="15" customHeight="1" thickTop="1" x14ac:dyDescent="0.35">
      <c r="A26" s="247">
        <v>30</v>
      </c>
      <c r="B26" s="258">
        <v>173</v>
      </c>
      <c r="C26" s="255" t="s">
        <v>520</v>
      </c>
      <c r="D26" s="303">
        <v>35596180</v>
      </c>
      <c r="E26" s="320" t="s">
        <v>521</v>
      </c>
      <c r="F26" s="320" t="s">
        <v>562</v>
      </c>
      <c r="G26" s="301">
        <v>43682</v>
      </c>
      <c r="H26" s="245" t="e">
        <f>DATEDIF(G26,#REF!,"Y")</f>
        <v>#REF!</v>
      </c>
      <c r="I26" s="246" t="s">
        <v>383</v>
      </c>
      <c r="J26" s="260" t="s">
        <v>208</v>
      </c>
      <c r="K26" s="248" t="s">
        <v>25</v>
      </c>
      <c r="L26" s="247" t="s">
        <v>95</v>
      </c>
      <c r="M26" s="305" t="s">
        <v>219</v>
      </c>
      <c r="N26" s="305" t="s">
        <v>522</v>
      </c>
      <c r="O26" s="247">
        <v>8303</v>
      </c>
      <c r="P26" s="305" t="s">
        <v>360</v>
      </c>
      <c r="Q26" s="305" t="s">
        <v>3</v>
      </c>
      <c r="R26" s="322">
        <v>33295</v>
      </c>
      <c r="S26" s="243">
        <v>2995238975</v>
      </c>
      <c r="T26" s="305"/>
      <c r="U26" s="233" t="e">
        <f>DATEDIF(R26,#REF!,"Y")</f>
        <v>#REF!</v>
      </c>
      <c r="V26" s="251" t="e">
        <f>DATEDIF(G26,#REF!,"MD")</f>
        <v>#REF!</v>
      </c>
      <c r="W26" s="251" t="e">
        <f>DATEDIF(G26,#REF!,"YM")</f>
        <v>#REF!</v>
      </c>
      <c r="X26" s="251" t="e">
        <f>DATEDIF(G26,#REF!,"Y")</f>
        <v>#REF!</v>
      </c>
      <c r="Y26" s="305" t="s">
        <v>98</v>
      </c>
      <c r="Z26" s="305" t="s">
        <v>98</v>
      </c>
      <c r="AA26" s="305" t="s">
        <v>216</v>
      </c>
      <c r="AB26" s="305"/>
      <c r="AC26" s="345" t="s">
        <v>348</v>
      </c>
      <c r="AD26" s="264">
        <v>44599</v>
      </c>
      <c r="AE26" s="253" t="s">
        <v>348</v>
      </c>
      <c r="AF26" s="264">
        <v>45156</v>
      </c>
      <c r="AG26" s="305"/>
      <c r="AH26" s="305"/>
      <c r="AI26" s="305"/>
      <c r="AJ26" s="255" t="s">
        <v>355</v>
      </c>
      <c r="AK26" s="262">
        <v>44211</v>
      </c>
      <c r="AL26" s="311">
        <f>AK26+365</f>
        <v>44576</v>
      </c>
    </row>
    <row r="27" spans="1:38" s="12" customFormat="1" ht="15" customHeight="1" x14ac:dyDescent="0.35">
      <c r="A27" s="247">
        <v>38</v>
      </c>
      <c r="B27" s="258">
        <v>197</v>
      </c>
      <c r="C27" s="255" t="s">
        <v>625</v>
      </c>
      <c r="D27" s="303">
        <v>37947231</v>
      </c>
      <c r="E27" s="259" t="s">
        <v>626</v>
      </c>
      <c r="F27" s="259" t="s">
        <v>668</v>
      </c>
      <c r="G27" s="301">
        <v>44210</v>
      </c>
      <c r="H27" s="245" t="e">
        <f>DATEDIF(G27,#REF!,"Y")</f>
        <v>#REF!</v>
      </c>
      <c r="I27" s="246"/>
      <c r="J27" s="260" t="s">
        <v>84</v>
      </c>
      <c r="K27" s="248" t="s">
        <v>24</v>
      </c>
      <c r="L27" s="249" t="s">
        <v>629</v>
      </c>
      <c r="M27" s="250" t="s">
        <v>630</v>
      </c>
      <c r="N27" s="250"/>
      <c r="O27" s="249"/>
      <c r="P27" s="250"/>
      <c r="Q27" s="250"/>
      <c r="R27" s="248">
        <v>34531</v>
      </c>
      <c r="S27" s="250">
        <v>2994056025</v>
      </c>
      <c r="T27" s="243"/>
      <c r="U27" s="243" t="e">
        <f>DATEDIF(R27,#REF!,"Y")</f>
        <v>#REF!</v>
      </c>
      <c r="V27" s="251" t="e">
        <f>DATEDIF(G27,#REF!,"MD")</f>
        <v>#REF!</v>
      </c>
      <c r="W27" s="251" t="e">
        <f>DATEDIF(G27,#REF!,"YM")</f>
        <v>#REF!</v>
      </c>
      <c r="X27" s="251" t="e">
        <f>DATEDIF(G27,#REF!,"Y")</f>
        <v>#REF!</v>
      </c>
      <c r="Y27" s="248" t="s">
        <v>24</v>
      </c>
      <c r="Z27" s="248" t="s">
        <v>24</v>
      </c>
      <c r="AA27" s="250" t="s">
        <v>31</v>
      </c>
      <c r="AB27" s="250"/>
      <c r="AC27" s="253"/>
      <c r="AD27" s="264"/>
      <c r="AE27" s="253"/>
      <c r="AF27" s="264"/>
      <c r="AG27" s="249"/>
      <c r="AH27" s="250"/>
      <c r="AI27" s="254"/>
      <c r="AJ27" s="324"/>
      <c r="AK27" s="256"/>
      <c r="AL27" s="313"/>
    </row>
  </sheetData>
  <mergeCells count="23">
    <mergeCell ref="S1:S2"/>
    <mergeCell ref="T1:V1"/>
    <mergeCell ref="W1:W2"/>
    <mergeCell ref="X1:X2"/>
    <mergeCell ref="Y1:Y2"/>
    <mergeCell ref="R1:R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F1:F2"/>
    <mergeCell ref="A1:A2"/>
    <mergeCell ref="B1:B2"/>
    <mergeCell ref="C1:C2"/>
    <mergeCell ref="D1:D2"/>
    <mergeCell ref="E1:E2"/>
  </mergeCells>
  <hyperlinks>
    <hyperlink ref="AB5" r:id="rId1" display="01) RRHH\JARA MARTIN EMANUEL\LIC. DE CONDUCIR VTO 06-06-25.pdf" xr:uid="{00000000-0004-0000-0500-000000000000}"/>
    <hyperlink ref="AI5" r:id="rId2" display="01) RRHH\JARA MARTIN EMANUEL\ex. preocupacional  VTO. 17-05-2020.pdf" xr:uid="{00000000-0004-0000-0500-000001000000}"/>
    <hyperlink ref="AD5" r:id="rId3" display="01) RRHH\JARA MARTIN EMANUEL\MD VTO 31-05-2021.pdf" xr:uid="{00000000-0004-0000-0500-000002000000}"/>
    <hyperlink ref="AB6" r:id="rId4" display="01) RRHH\PANICCIA,GIULIANO STEFANO\licencia actualizada vto0-11-2023.pdf" xr:uid="{00000000-0004-0000-0500-000003000000}"/>
    <hyperlink ref="AD6" r:id="rId5" display="01) RRHH\PANICCIA,GIULIANO STEFANO\paniccia manejo dfensivo vto 03-10-2020.pdf" xr:uid="{00000000-0004-0000-0500-000004000000}"/>
    <hyperlink ref="AI6" r:id="rId6" display="01) RRHH\PANICCIA,GIULIANO STEFANO\Periodico 01-10-2019.pdf" xr:uid="{00000000-0004-0000-0500-000005000000}"/>
    <hyperlink ref="AB7" r:id="rId7" display="01) RRHH\MUÑOZ ALEJANDRO\LIC. DE CONDUCIR VTO 21-04-22.pdf" xr:uid="{00000000-0004-0000-0500-000006000000}"/>
    <hyperlink ref="AD7" r:id="rId8" display="01) RRHH\MUÑOZ ALEJANDRO\MD vto 13-07-2021.pdf" xr:uid="{00000000-0004-0000-0500-000007000000}"/>
    <hyperlink ref="AI7" r:id="rId9" display="01) RRHH\MUÑOZ ALEJANDRO\Ex. Periodico VTO 18-11-2021.pdf" xr:uid="{00000000-0004-0000-0500-000008000000}"/>
    <hyperlink ref="AI8" r:id="rId10" display="01) RRHH\GONZALEZ, Victor\periodico Vto. 12-03-2020.pdf" xr:uid="{00000000-0004-0000-0500-000009000000}"/>
    <hyperlink ref="AD8" r:id="rId11" display="01) RRHH\GONZALEZ, Victor\MD Gonzales VTO 22-03-2020.pdf" xr:uid="{00000000-0004-0000-0500-00000A000000}"/>
    <hyperlink ref="AB8" r:id="rId12" display="01) RRHH\GONZALEZ, Victor\licencia VTO 22-12-2025.pdf" xr:uid="{00000000-0004-0000-0500-00000B000000}"/>
    <hyperlink ref="AB9" r:id="rId13" display="01) RRHH\ESPARZA MATIAS NICOLAS\licencia VTO 08-10-2021.pdf" xr:uid="{00000000-0004-0000-0500-00000C000000}"/>
    <hyperlink ref="AI9" r:id="rId14" display="01) RRHH\ESPARZA MATIAS NICOLAS\Ex. Preocupacional VTO 25-07-2020.pdf" xr:uid="{00000000-0004-0000-0500-00000D000000}"/>
    <hyperlink ref="AD9" r:id="rId15" display="01) RRHH\ESPARZA MATIAS NICOLAS\MD vto 08-08-2021.pdf" xr:uid="{00000000-0004-0000-0500-00000E000000}"/>
    <hyperlink ref="AK14" r:id="rId16" display="01) RRHH\VALENZUELA GASTON\Preocupacional Valenzuela 02-02-21.pdf" xr:uid="{00000000-0004-0000-0500-00000F000000}"/>
    <hyperlink ref="AD14" r:id="rId17" display="01) RRHH\VALENZUELA GASTON\Lic. VTO 28-02-2025.pdf" xr:uid="{00000000-0004-0000-0500-000010000000}"/>
    <hyperlink ref="AF14" r:id="rId18" display="01) RRHH\VALENZUELA GASTON\MD Vto 02-03-2023.pdf" xr:uid="{00000000-0004-0000-0500-000011000000}"/>
    <hyperlink ref="AD16" r:id="rId19" display="01) RRHH\BARRA FABIAN\LIC. CONDUCIR VTO 18-12-2021.pdf" xr:uid="{00000000-0004-0000-0500-000012000000}"/>
    <hyperlink ref="AF16" r:id="rId20" display="01) RRHH\BARRA FABIAN\MD Vto 09-04-2023.pdf" xr:uid="{00000000-0004-0000-0500-000013000000}"/>
    <hyperlink ref="AK16" r:id="rId21" display="01) RRHH\BARRA FABIAN\Ex. preocupacional VTO 31-03-2022.pdf" xr:uid="{00000000-0004-0000-0500-000014000000}"/>
    <hyperlink ref="AF17" r:id="rId22" display="01) RRHH\PEDEMONTE, Victor\MD Vto 22-10-2022.pdf" xr:uid="{00000000-0004-0000-0500-000015000000}"/>
    <hyperlink ref="AK17" r:id="rId23" display="01) RRHH\PEDEMONTE, Victor\Periodico Vto 15-03-2022.pdf" xr:uid="{00000000-0004-0000-0500-000016000000}"/>
    <hyperlink ref="AD17" r:id="rId24" display="01) RRHH\PEDEMONTE, Victor\Licencia de Conducir VTO 05-01-2026.pdf" xr:uid="{00000000-0004-0000-0500-000017000000}"/>
    <hyperlink ref="AF18" r:id="rId25" display="01) RRHH\MEDER RAFAEL OSCAR\MD Vto 28-08 -21.pdf" xr:uid="{00000000-0004-0000-0500-000018000000}"/>
    <hyperlink ref="AK18" r:id="rId26" display="01) RRHH\MEDER RAFAEL OSCAR\Ex. periodico VTO 30-10-2021.pdf" xr:uid="{00000000-0004-0000-0500-000019000000}"/>
    <hyperlink ref="AD19" r:id="rId27" display="01) RRHH\PINO ALE\LIC. CONDUCIR 09-02-2023.pdf" xr:uid="{00000000-0004-0000-0500-00001A000000}"/>
    <hyperlink ref="AF19" r:id="rId28" display="01) RRHH\PINO ALE\MD Vto 09-04-2023.pdf" xr:uid="{00000000-0004-0000-0500-00001B000000}"/>
    <hyperlink ref="AK19" r:id="rId29" display="01) RRHH\PINO ALE\EX. PREOCUPACIONAL VTO 31-03-2022.pdf" xr:uid="{00000000-0004-0000-0500-00001C000000}"/>
    <hyperlink ref="AD20" r:id="rId30" display="01) RRHH\HERNANDEZ, Anselmo Maico\CARNET.pdf" xr:uid="{00000000-0004-0000-0500-00001D000000}"/>
    <hyperlink ref="AF20" r:id="rId31" display="01) RRHH\HERNANDEZ, Anselmo Maico\MD VTO 25-11-2021.pdf" xr:uid="{00000000-0004-0000-0500-00001E000000}"/>
    <hyperlink ref="AK20" r:id="rId32" display="01) RRHH\HERNANDEZ, Anselmo Maico\Ex. periodico VTO19-04-2022.pdf" xr:uid="{00000000-0004-0000-0500-00001F000000}"/>
    <hyperlink ref="AK21" r:id="rId33" display="01) RRHH\ACOSTA LUCIANO ALEXIS\PRE OCUPACIONAL Vto10-06-22.pdf" xr:uid="{00000000-0004-0000-0500-000020000000}"/>
    <hyperlink ref="AD21" r:id="rId34" display="01) RRHH\ACOSTA LUCIANO ALEXIS\Lic de conducir Vto 15-07-26.pdf" xr:uid="{00000000-0004-0000-0500-000021000000}"/>
    <hyperlink ref="AF22" r:id="rId35" display="01) RRHH\PIZARRO MAURICIO\MD Vto 09-02-2023.pdf" xr:uid="{00000000-0004-0000-0500-000022000000}"/>
    <hyperlink ref="AD22" r:id="rId36" display="01) RRHH\PIZARRO MAURICIO\Lic de Conducir VTO 12-01-2023.pdf" xr:uid="{00000000-0004-0000-0500-000023000000}"/>
    <hyperlink ref="AK23" r:id="rId37" display="01) RRHH\CORACHAN JOAQUIN\Ex. Periodico VTO 27-11-2021.pdf" xr:uid="{00000000-0004-0000-0500-000024000000}"/>
    <hyperlink ref="AF23" r:id="rId38" display="01) RRHH\CORACHAN JOAQUIN\MD VTO 14-01-2023.pdf" xr:uid="{00000000-0004-0000-0500-000025000000}"/>
    <hyperlink ref="AD23" r:id="rId39" display="01) RRHH\CORACHAN JOAQUIN\Licenci de conducir Vto. 30-10-2022.pdf" xr:uid="{00000000-0004-0000-0500-000026000000}"/>
    <hyperlink ref="AD25" r:id="rId40" display="01) RRHH\VELIZ, PEDRO PABLO" xr:uid="{00000000-0004-0000-0500-000027000000}"/>
    <hyperlink ref="AK25" r:id="rId41" display="01) RRHH\VELIZ, PEDRO PABLO\Ex. Periodico VTO 19-04-2022.pdf" xr:uid="{00000000-0004-0000-0500-000028000000}"/>
    <hyperlink ref="AF25" r:id="rId42" display="01) RRHH\VELIZ, PEDRO PABLO\MD Vto 15-04-2023.pdf" xr:uid="{00000000-0004-0000-0500-000029000000}"/>
    <hyperlink ref="AF26" r:id="rId43" display="01) RRHH\FUENTES DANIEL ANDRES\MD VTO 18-08-2023.pdf" xr:uid="{00000000-0004-0000-0500-00002A000000}"/>
    <hyperlink ref="AD26" r:id="rId44" display="01) RRHH\FUENTES DANIEL ANDRES\Lic. VTO 07-02-2022.pdf" xr:uid="{00000000-0004-0000-0500-00002B000000}"/>
    <hyperlink ref="AK26" r:id="rId45" display="01) RRHH\FUENTES DANIEL ANDRES\Ex. Periodico VTO 15-01-2022.pdf" xr:uid="{00000000-0004-0000-0500-00002C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18"/>
  <sheetViews>
    <sheetView workbookViewId="0">
      <selection activeCell="Z2" sqref="A2:XFD3"/>
    </sheetView>
  </sheetViews>
  <sheetFormatPr baseColWidth="10" defaultRowHeight="15.5" x14ac:dyDescent="0.35"/>
  <cols>
    <col min="1" max="1" width="9" customWidth="1"/>
    <col min="2" max="2" width="6.23046875" customWidth="1"/>
    <col min="3" max="3" width="23" customWidth="1"/>
    <col min="4" max="4" width="11" customWidth="1"/>
    <col min="6" max="6" width="9" customWidth="1"/>
    <col min="7" max="7" width="13.07421875" customWidth="1"/>
    <col min="8" max="8" width="8.3046875" customWidth="1"/>
    <col min="9" max="9" width="17.3046875" customWidth="1"/>
    <col min="10" max="10" width="24.69140625" customWidth="1"/>
    <col min="11" max="11" width="5" customWidth="1"/>
    <col min="13" max="13" width="7.4609375" customWidth="1"/>
    <col min="14" max="14" width="8.69140625" customWidth="1"/>
    <col min="15" max="15" width="7.07421875" hidden="1" customWidth="1"/>
    <col min="16" max="16" width="5.3046875" customWidth="1"/>
    <col min="17" max="17" width="4.84375" customWidth="1"/>
    <col min="18" max="18" width="8.3046875" customWidth="1"/>
    <col min="19" max="19" width="8.84375" customWidth="1"/>
  </cols>
  <sheetData>
    <row r="1" spans="1:38" ht="16" thickBot="1" x14ac:dyDescent="0.4"/>
    <row r="2" spans="1:38" ht="16" thickBot="1" x14ac:dyDescent="0.4">
      <c r="A2" s="502" t="s">
        <v>93</v>
      </c>
      <c r="B2" s="502" t="s">
        <v>10</v>
      </c>
      <c r="C2" s="502" t="s">
        <v>6</v>
      </c>
      <c r="D2" s="502" t="s">
        <v>0</v>
      </c>
      <c r="E2" s="502" t="s">
        <v>103</v>
      </c>
      <c r="F2" s="502" t="s">
        <v>112</v>
      </c>
      <c r="G2" s="502" t="s">
        <v>192</v>
      </c>
      <c r="H2" s="502" t="s">
        <v>185</v>
      </c>
      <c r="I2" s="502" t="s">
        <v>176</v>
      </c>
      <c r="J2" s="502" t="s">
        <v>186</v>
      </c>
      <c r="K2" s="502" t="s">
        <v>8</v>
      </c>
      <c r="L2" s="502" t="s">
        <v>1</v>
      </c>
      <c r="M2" s="502" t="s">
        <v>177</v>
      </c>
      <c r="N2" s="502" t="s">
        <v>178</v>
      </c>
      <c r="O2" s="502" t="s">
        <v>191</v>
      </c>
      <c r="P2" s="502" t="s">
        <v>190</v>
      </c>
      <c r="Q2" s="502" t="s">
        <v>179</v>
      </c>
      <c r="R2" s="502" t="s">
        <v>180</v>
      </c>
      <c r="S2" s="502" t="s">
        <v>181</v>
      </c>
      <c r="T2" s="502" t="s">
        <v>182</v>
      </c>
      <c r="U2" s="502"/>
      <c r="V2" s="502"/>
      <c r="W2" s="502" t="s">
        <v>22</v>
      </c>
      <c r="X2" s="502" t="s">
        <v>23</v>
      </c>
      <c r="Y2" s="502" t="s">
        <v>9</v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8" ht="16" thickBot="1" x14ac:dyDescent="0.4">
      <c r="A3" s="503"/>
      <c r="B3" s="503"/>
      <c r="C3" s="503"/>
      <c r="D3" s="503"/>
      <c r="E3" s="503"/>
      <c r="F3" s="503"/>
      <c r="G3" s="503"/>
      <c r="H3" s="503"/>
      <c r="I3" s="503"/>
      <c r="J3" s="503"/>
      <c r="K3" s="503"/>
      <c r="L3" s="503"/>
      <c r="M3" s="503"/>
      <c r="N3" s="503"/>
      <c r="O3" s="503"/>
      <c r="P3" s="503"/>
      <c r="Q3" s="503"/>
      <c r="R3" s="503"/>
      <c r="S3" s="503"/>
      <c r="T3" s="353" t="s">
        <v>187</v>
      </c>
      <c r="U3" s="353" t="s">
        <v>188</v>
      </c>
      <c r="V3" s="353" t="s">
        <v>189</v>
      </c>
      <c r="W3" s="503"/>
      <c r="X3" s="503"/>
      <c r="Y3" s="503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8" s="12" customFormat="1" ht="15" customHeight="1" thickTop="1" x14ac:dyDescent="0.35">
      <c r="A4" s="301">
        <v>43854</v>
      </c>
      <c r="B4" s="258">
        <v>165</v>
      </c>
      <c r="C4" s="255" t="s">
        <v>497</v>
      </c>
      <c r="D4" s="324" t="s">
        <v>498</v>
      </c>
      <c r="E4" s="324" t="s">
        <v>100</v>
      </c>
      <c r="F4" s="301">
        <v>43605</v>
      </c>
      <c r="G4" s="248" t="s">
        <v>25</v>
      </c>
      <c r="H4" s="247" t="s">
        <v>26</v>
      </c>
      <c r="I4" s="305" t="s">
        <v>219</v>
      </c>
      <c r="J4" s="305" t="s">
        <v>499</v>
      </c>
      <c r="K4" s="247">
        <v>8300</v>
      </c>
      <c r="L4" s="305" t="s">
        <v>5</v>
      </c>
      <c r="M4" s="305" t="s">
        <v>5</v>
      </c>
      <c r="N4" s="243">
        <v>2995357919</v>
      </c>
      <c r="O4" s="305"/>
      <c r="P4" s="243" t="e">
        <f>DATEDIF(R4,#REF!,"Y")</f>
        <v>#REF!</v>
      </c>
      <c r="Q4" s="305"/>
      <c r="R4" s="322">
        <v>36300</v>
      </c>
      <c r="S4" s="251"/>
      <c r="T4" s="305"/>
      <c r="U4" s="305"/>
      <c r="V4" s="305"/>
      <c r="W4" s="305" t="s">
        <v>98</v>
      </c>
      <c r="X4" s="305" t="s">
        <v>98</v>
      </c>
      <c r="Y4" s="305" t="s">
        <v>495</v>
      </c>
      <c r="Z4" s="345" t="s">
        <v>348</v>
      </c>
      <c r="AA4" s="323">
        <v>44345</v>
      </c>
      <c r="AB4" s="253" t="s">
        <v>348</v>
      </c>
      <c r="AC4" s="323">
        <v>44303</v>
      </c>
      <c r="AD4" s="305"/>
      <c r="AE4" s="305"/>
      <c r="AF4" s="305"/>
      <c r="AG4" s="324" t="s">
        <v>357</v>
      </c>
      <c r="AH4" s="321">
        <v>43566</v>
      </c>
      <c r="AI4" s="311">
        <f>AH4+365</f>
        <v>43931</v>
      </c>
    </row>
    <row r="5" spans="1:38" x14ac:dyDescent="0.35">
      <c r="A5" s="350">
        <v>43867</v>
      </c>
      <c r="B5" s="258">
        <v>186</v>
      </c>
      <c r="C5" s="255" t="s">
        <v>558</v>
      </c>
      <c r="D5" s="259" t="s">
        <v>559</v>
      </c>
      <c r="E5" s="351" t="s">
        <v>313</v>
      </c>
      <c r="F5" s="301">
        <v>43794</v>
      </c>
      <c r="G5" s="248" t="s">
        <v>25</v>
      </c>
      <c r="H5" s="249" t="s">
        <v>26</v>
      </c>
      <c r="I5" s="305" t="s">
        <v>219</v>
      </c>
      <c r="J5" s="250" t="s">
        <v>560</v>
      </c>
      <c r="K5" s="249">
        <v>8305</v>
      </c>
      <c r="L5" s="250" t="s">
        <v>211</v>
      </c>
      <c r="M5" s="250" t="s">
        <v>3</v>
      </c>
      <c r="N5" s="250">
        <v>2995364901</v>
      </c>
      <c r="O5" s="225"/>
      <c r="P5" s="225"/>
      <c r="Q5" s="225"/>
      <c r="R5" s="248">
        <v>29328</v>
      </c>
      <c r="S5" s="352">
        <v>43794</v>
      </c>
      <c r="T5" s="225"/>
      <c r="U5" s="225"/>
      <c r="V5" s="225"/>
      <c r="W5" s="305" t="s">
        <v>98</v>
      </c>
      <c r="X5" s="305" t="s">
        <v>98</v>
      </c>
      <c r="Y5" s="250" t="s">
        <v>216</v>
      </c>
      <c r="Z5" s="253" t="s">
        <v>348</v>
      </c>
      <c r="AA5" s="264">
        <v>44873</v>
      </c>
      <c r="AB5" s="253" t="s">
        <v>348</v>
      </c>
      <c r="AC5" s="264">
        <v>44525</v>
      </c>
      <c r="AD5" s="249"/>
      <c r="AE5" s="250"/>
      <c r="AF5" s="254"/>
      <c r="AG5" s="324" t="s">
        <v>357</v>
      </c>
      <c r="AH5" s="256">
        <v>43780</v>
      </c>
      <c r="AI5" s="313">
        <f>AH5+365</f>
        <v>44145</v>
      </c>
    </row>
    <row r="6" spans="1:38" x14ac:dyDescent="0.35">
      <c r="A6" s="354">
        <v>43918</v>
      </c>
      <c r="B6" s="258">
        <v>187</v>
      </c>
      <c r="C6" s="255" t="s">
        <v>565</v>
      </c>
      <c r="D6" s="259">
        <v>20404729064</v>
      </c>
      <c r="E6" s="351" t="s">
        <v>313</v>
      </c>
      <c r="F6" s="301">
        <v>43801</v>
      </c>
      <c r="G6" s="248" t="s">
        <v>396</v>
      </c>
      <c r="H6" s="249" t="s">
        <v>410</v>
      </c>
      <c r="I6" s="305" t="s">
        <v>398</v>
      </c>
      <c r="J6" s="250" t="s">
        <v>566</v>
      </c>
      <c r="K6" s="249">
        <v>8300</v>
      </c>
      <c r="L6" s="250" t="s">
        <v>5</v>
      </c>
      <c r="M6" s="250" t="s">
        <v>5</v>
      </c>
      <c r="N6" s="250">
        <v>294677657</v>
      </c>
      <c r="P6" s="358"/>
      <c r="Q6" s="225"/>
      <c r="R6" s="225"/>
      <c r="S6" s="225"/>
      <c r="T6" s="225"/>
      <c r="U6" s="225"/>
      <c r="V6" s="225"/>
      <c r="W6" s="305"/>
      <c r="X6" s="305"/>
      <c r="Y6" s="250" t="s">
        <v>495</v>
      </c>
      <c r="Z6" s="225"/>
      <c r="AA6" s="225"/>
      <c r="AB6" s="225"/>
      <c r="AC6" s="225"/>
      <c r="AD6" s="225"/>
      <c r="AE6" s="225"/>
      <c r="AF6" s="225"/>
    </row>
    <row r="7" spans="1:38" x14ac:dyDescent="0.35">
      <c r="A7" s="354">
        <v>43917</v>
      </c>
      <c r="B7" s="258">
        <v>188</v>
      </c>
      <c r="C7" s="255" t="s">
        <v>568</v>
      </c>
      <c r="D7" s="259" t="s">
        <v>567</v>
      </c>
      <c r="E7" s="351" t="s">
        <v>313</v>
      </c>
      <c r="F7" s="301">
        <v>43860</v>
      </c>
      <c r="G7" s="248" t="s">
        <v>25</v>
      </c>
      <c r="H7" s="249" t="s">
        <v>26</v>
      </c>
      <c r="I7" s="305" t="s">
        <v>219</v>
      </c>
      <c r="J7" s="250" t="s">
        <v>569</v>
      </c>
      <c r="K7" s="249">
        <v>8316</v>
      </c>
      <c r="L7" s="250" t="s">
        <v>4</v>
      </c>
      <c r="M7" s="250" t="s">
        <v>5</v>
      </c>
      <c r="N7" s="250">
        <v>2994606152</v>
      </c>
      <c r="P7" s="225"/>
      <c r="Q7" s="225"/>
      <c r="R7" s="225"/>
      <c r="S7" s="225"/>
      <c r="T7" s="225"/>
      <c r="U7" s="225"/>
      <c r="V7" s="225"/>
      <c r="W7" s="305"/>
      <c r="X7" s="305"/>
      <c r="Y7" s="250" t="s">
        <v>216</v>
      </c>
      <c r="Z7" s="225"/>
      <c r="AA7" s="225"/>
      <c r="AB7" s="225"/>
      <c r="AC7" s="225"/>
      <c r="AD7" s="225"/>
      <c r="AE7" s="225"/>
      <c r="AF7" s="225"/>
      <c r="AG7" s="359" t="s">
        <v>357</v>
      </c>
      <c r="AH7" s="256">
        <v>43829</v>
      </c>
      <c r="AI7" s="313">
        <f>AH7+365</f>
        <v>44194</v>
      </c>
    </row>
    <row r="8" spans="1:38" ht="16" thickBot="1" x14ac:dyDescent="0.4">
      <c r="A8" s="354">
        <v>43917</v>
      </c>
      <c r="B8" s="258">
        <v>189</v>
      </c>
      <c r="C8" s="255" t="s">
        <v>570</v>
      </c>
      <c r="D8" s="259" t="s">
        <v>571</v>
      </c>
      <c r="E8" s="351" t="s">
        <v>313</v>
      </c>
      <c r="F8" s="301">
        <v>43874</v>
      </c>
      <c r="G8" s="248" t="s">
        <v>12</v>
      </c>
      <c r="H8" s="249" t="s">
        <v>239</v>
      </c>
      <c r="I8" s="305" t="s">
        <v>75</v>
      </c>
      <c r="J8" s="250" t="s">
        <v>572</v>
      </c>
      <c r="K8" s="249">
        <v>8316</v>
      </c>
      <c r="L8" s="250" t="s">
        <v>4</v>
      </c>
      <c r="M8" s="250" t="s">
        <v>5</v>
      </c>
      <c r="N8" s="250">
        <v>2995362285</v>
      </c>
      <c r="P8" s="225"/>
      <c r="Q8" s="225"/>
      <c r="R8" s="225"/>
      <c r="S8" s="225"/>
      <c r="T8" s="225"/>
      <c r="U8" s="225"/>
      <c r="V8" s="225"/>
      <c r="W8" s="305"/>
      <c r="X8" s="305"/>
      <c r="Y8" s="250" t="s">
        <v>216</v>
      </c>
      <c r="Z8" s="225"/>
      <c r="AA8" s="225"/>
      <c r="AB8" s="225"/>
      <c r="AC8" s="225"/>
      <c r="AD8" s="225"/>
      <c r="AE8" s="225"/>
      <c r="AF8" s="225"/>
      <c r="AG8" s="359" t="s">
        <v>357</v>
      </c>
      <c r="AH8" s="256"/>
      <c r="AI8" s="313"/>
    </row>
    <row r="9" spans="1:38" s="12" customFormat="1" ht="15" customHeight="1" thickTop="1" thickBot="1" x14ac:dyDescent="0.4">
      <c r="A9" s="354">
        <v>43951</v>
      </c>
      <c r="B9" s="258">
        <v>159</v>
      </c>
      <c r="C9" s="255" t="s">
        <v>476</v>
      </c>
      <c r="D9" s="259">
        <v>20333610478</v>
      </c>
      <c r="E9" s="324" t="s">
        <v>100</v>
      </c>
      <c r="F9" s="244">
        <v>43412</v>
      </c>
      <c r="G9" s="248" t="s">
        <v>25</v>
      </c>
      <c r="H9" s="249" t="s">
        <v>95</v>
      </c>
      <c r="I9" s="250" t="s">
        <v>219</v>
      </c>
      <c r="J9" s="250" t="s">
        <v>477</v>
      </c>
      <c r="K9" s="249">
        <v>8300</v>
      </c>
      <c r="L9" s="250" t="s">
        <v>5</v>
      </c>
      <c r="M9" s="250" t="s">
        <v>5</v>
      </c>
      <c r="N9" s="250">
        <v>2994041908</v>
      </c>
      <c r="O9" s="357"/>
      <c r="P9" s="251" t="e">
        <f>DATEDIF(F6,#REF!,"MD")</f>
        <v>#REF!</v>
      </c>
      <c r="Q9" s="305"/>
      <c r="R9" s="305"/>
      <c r="S9" s="305"/>
      <c r="T9" s="305"/>
      <c r="U9" s="251" t="e">
        <f>DATEDIF(F6,#REF!,"YM")</f>
        <v>#REF!</v>
      </c>
      <c r="V9" s="251" t="e">
        <f>DATEDIF(F6,#REF!,"Y")</f>
        <v>#REF!</v>
      </c>
      <c r="W9" s="250" t="s">
        <v>98</v>
      </c>
      <c r="X9" s="250" t="s">
        <v>98</v>
      </c>
      <c r="Y9" s="250" t="s">
        <v>31</v>
      </c>
      <c r="Z9" s="253" t="s">
        <v>348</v>
      </c>
      <c r="AA9" s="252">
        <v>43501</v>
      </c>
      <c r="AB9" s="253" t="s">
        <v>348</v>
      </c>
      <c r="AC9" s="264">
        <v>44152</v>
      </c>
      <c r="AD9" s="254"/>
      <c r="AE9" s="324"/>
      <c r="AF9" s="256"/>
      <c r="AG9" s="360" t="s">
        <v>357</v>
      </c>
      <c r="AH9" s="256">
        <v>43410</v>
      </c>
      <c r="AI9" s="311">
        <f>AH9+365</f>
        <v>43775</v>
      </c>
    </row>
    <row r="10" spans="1:38" s="12" customFormat="1" ht="15" customHeight="1" thickTop="1" thickBot="1" x14ac:dyDescent="0.4">
      <c r="A10" s="354">
        <v>44004</v>
      </c>
      <c r="B10" s="258">
        <v>163</v>
      </c>
      <c r="C10" s="255" t="s">
        <v>492</v>
      </c>
      <c r="D10" s="320" t="s">
        <v>493</v>
      </c>
      <c r="E10" s="324" t="s">
        <v>313</v>
      </c>
      <c r="F10" s="301">
        <v>43580</v>
      </c>
      <c r="G10" s="248" t="s">
        <v>25</v>
      </c>
      <c r="H10" s="247" t="s">
        <v>227</v>
      </c>
      <c r="I10" s="305" t="s">
        <v>576</v>
      </c>
      <c r="J10" s="305" t="s">
        <v>494</v>
      </c>
      <c r="K10" s="247">
        <v>8316</v>
      </c>
      <c r="L10" s="305" t="s">
        <v>4</v>
      </c>
      <c r="M10" s="305" t="s">
        <v>5</v>
      </c>
      <c r="N10" s="243">
        <v>2994725971</v>
      </c>
      <c r="O10" s="309"/>
      <c r="P10" s="243" t="e">
        <f>DATEDIF(R10,#REF!,"Y")</f>
        <v>#REF!</v>
      </c>
      <c r="Q10" s="251"/>
      <c r="R10" s="322">
        <v>27615</v>
      </c>
      <c r="S10" s="251"/>
      <c r="T10" s="251" t="e">
        <f>DATEDIF(F10,#REF!,"MD")</f>
        <v>#REF!</v>
      </c>
      <c r="U10" s="251" t="e">
        <f>DATEDIF(F10,#REF!,"YM")</f>
        <v>#REF!</v>
      </c>
      <c r="V10" s="251" t="e">
        <f>DATEDIF(F10,#REF!,"Y")</f>
        <v>#REF!</v>
      </c>
      <c r="W10" s="305" t="s">
        <v>98</v>
      </c>
      <c r="X10" s="305" t="s">
        <v>98</v>
      </c>
      <c r="Y10" s="305" t="s">
        <v>495</v>
      </c>
      <c r="Z10" s="345" t="s">
        <v>348</v>
      </c>
      <c r="AA10" s="323">
        <v>44212</v>
      </c>
      <c r="AB10" s="253" t="s">
        <v>348</v>
      </c>
      <c r="AC10" s="323">
        <v>44303</v>
      </c>
      <c r="AD10" s="305"/>
      <c r="AE10" s="305"/>
      <c r="AF10" s="305"/>
      <c r="AG10" s="359" t="s">
        <v>357</v>
      </c>
      <c r="AH10" s="321">
        <v>43566</v>
      </c>
      <c r="AI10" s="311">
        <f>AH10+365</f>
        <v>43931</v>
      </c>
    </row>
    <row r="11" spans="1:38" ht="16" thickTop="1" x14ac:dyDescent="0.35">
      <c r="A11" s="356">
        <v>44042</v>
      </c>
      <c r="B11" s="258">
        <v>167</v>
      </c>
      <c r="C11" s="255" t="s">
        <v>502</v>
      </c>
      <c r="D11" s="320" t="s">
        <v>505</v>
      </c>
      <c r="E11" s="324" t="s">
        <v>100</v>
      </c>
      <c r="F11" s="301">
        <v>43617</v>
      </c>
      <c r="G11" s="248" t="s">
        <v>25</v>
      </c>
      <c r="H11" s="247" t="s">
        <v>95</v>
      </c>
      <c r="I11" s="305" t="s">
        <v>219</v>
      </c>
      <c r="J11" s="305" t="s">
        <v>503</v>
      </c>
      <c r="K11" s="247">
        <v>8311</v>
      </c>
      <c r="L11" s="305" t="s">
        <v>504</v>
      </c>
      <c r="M11" s="305" t="s">
        <v>5</v>
      </c>
      <c r="N11" s="243">
        <v>2994563365</v>
      </c>
      <c r="P11" s="243" t="e">
        <f>DATEDIF(R11,#REF!,"Y")</f>
        <v>#REF!</v>
      </c>
      <c r="Q11" s="225"/>
      <c r="R11" s="322">
        <v>31839</v>
      </c>
      <c r="S11" s="225"/>
      <c r="T11" s="251" t="e">
        <f>DATEDIF(F11,#REF!,"MD")</f>
        <v>#REF!</v>
      </c>
      <c r="U11" s="251" t="e">
        <f>DATEDIF(F11,#REF!,"YM")</f>
        <v>#REF!</v>
      </c>
      <c r="V11" s="251" t="e">
        <f>DATEDIF(F11,#REF!,"Y")</f>
        <v>#REF!</v>
      </c>
      <c r="W11" s="305" t="s">
        <v>98</v>
      </c>
      <c r="X11" s="305" t="s">
        <v>98</v>
      </c>
      <c r="Y11" s="305" t="s">
        <v>495</v>
      </c>
      <c r="Z11" s="345" t="s">
        <v>348</v>
      </c>
      <c r="AA11" s="323">
        <v>43893</v>
      </c>
      <c r="AB11" s="253" t="s">
        <v>348</v>
      </c>
      <c r="AC11" s="323">
        <v>44347</v>
      </c>
      <c r="AD11" s="225"/>
      <c r="AE11" s="305"/>
      <c r="AF11" s="305"/>
      <c r="AG11" s="359" t="s">
        <v>357</v>
      </c>
      <c r="AH11" s="321">
        <v>43588</v>
      </c>
      <c r="AI11" s="311">
        <f>AH11+365</f>
        <v>43953</v>
      </c>
    </row>
    <row r="13" spans="1:38" ht="16" thickBot="1" x14ac:dyDescent="0.4"/>
    <row r="14" spans="1:38" s="12" customFormat="1" ht="15" customHeight="1" thickTop="1" thickBot="1" x14ac:dyDescent="0.4">
      <c r="A14" s="247">
        <v>19</v>
      </c>
      <c r="B14" s="258">
        <v>136</v>
      </c>
      <c r="C14" s="255" t="s">
        <v>409</v>
      </c>
      <c r="D14" s="303">
        <v>33952023</v>
      </c>
      <c r="E14" s="259" t="s">
        <v>411</v>
      </c>
      <c r="F14" s="259" t="s">
        <v>564</v>
      </c>
      <c r="G14" s="244">
        <v>43282</v>
      </c>
      <c r="H14" s="245" t="e">
        <f>DATEDIF(G14,#REF!,"Y")</f>
        <v>#REF!</v>
      </c>
      <c r="I14" s="246" t="s">
        <v>374</v>
      </c>
      <c r="J14" s="260" t="s">
        <v>395</v>
      </c>
      <c r="K14" s="248" t="s">
        <v>396</v>
      </c>
      <c r="L14" s="249" t="s">
        <v>410</v>
      </c>
      <c r="M14" s="250" t="s">
        <v>398</v>
      </c>
      <c r="N14" s="250" t="s">
        <v>412</v>
      </c>
      <c r="O14" s="249">
        <v>8300</v>
      </c>
      <c r="P14" s="250" t="s">
        <v>5</v>
      </c>
      <c r="Q14" s="250" t="s">
        <v>5</v>
      </c>
      <c r="R14" s="248">
        <v>32320</v>
      </c>
      <c r="S14" s="250" t="s">
        <v>413</v>
      </c>
      <c r="T14" s="243"/>
      <c r="U14" s="233" t="e">
        <f>DATEDIF(R14,#REF!,"Y")</f>
        <v>#REF!</v>
      </c>
      <c r="V14" s="251" t="e">
        <f>DATEDIF(G14,#REF!,"MD")</f>
        <v>#REF!</v>
      </c>
      <c r="W14" s="251" t="e">
        <f>DATEDIF(G14,#REF!,"YM")</f>
        <v>#REF!</v>
      </c>
      <c r="X14" s="251" t="e">
        <f>DATEDIF(G14,#REF!,"Y")</f>
        <v>#REF!</v>
      </c>
      <c r="Y14" s="250"/>
      <c r="Z14" s="250"/>
      <c r="AA14" s="250" t="s">
        <v>216</v>
      </c>
      <c r="AB14" s="250"/>
      <c r="AC14" s="253"/>
      <c r="AD14" s="264"/>
      <c r="AE14" s="253"/>
      <c r="AF14" s="264"/>
      <c r="AG14" s="253"/>
      <c r="AH14" s="250"/>
      <c r="AI14" s="254"/>
      <c r="AJ14" s="255"/>
      <c r="AK14" s="262"/>
      <c r="AL14" s="311"/>
    </row>
    <row r="15" spans="1:38" s="12" customFormat="1" ht="15" customHeight="1" thickTop="1" thickBot="1" x14ac:dyDescent="0.4">
      <c r="A15" s="247">
        <v>24</v>
      </c>
      <c r="B15" s="258">
        <v>143</v>
      </c>
      <c r="C15" s="255" t="s">
        <v>466</v>
      </c>
      <c r="D15" s="303">
        <v>28624398</v>
      </c>
      <c r="E15" s="259">
        <v>20286243984</v>
      </c>
      <c r="F15" s="259" t="s">
        <v>563</v>
      </c>
      <c r="G15" s="244">
        <v>43339</v>
      </c>
      <c r="H15" s="245" t="e">
        <f>DATEDIF(G15,#REF!,"Y")</f>
        <v>#REF!</v>
      </c>
      <c r="I15" s="246" t="s">
        <v>383</v>
      </c>
      <c r="J15" s="260" t="s">
        <v>208</v>
      </c>
      <c r="K15" s="248" t="s">
        <v>25</v>
      </c>
      <c r="L15" s="249" t="s">
        <v>117</v>
      </c>
      <c r="M15" s="250" t="s">
        <v>70</v>
      </c>
      <c r="N15" s="250" t="s">
        <v>437</v>
      </c>
      <c r="O15" s="249">
        <v>8300</v>
      </c>
      <c r="P15" s="250" t="s">
        <v>5</v>
      </c>
      <c r="Q15" s="250" t="s">
        <v>5</v>
      </c>
      <c r="R15" s="248">
        <v>30088</v>
      </c>
      <c r="S15" s="250">
        <v>2995959010</v>
      </c>
      <c r="T15" s="243"/>
      <c r="U15" s="233" t="e">
        <f>DATEDIF(R15,#REF!,"Y")</f>
        <v>#REF!</v>
      </c>
      <c r="V15" s="251" t="e">
        <f>DATEDIF(G15,#REF!,"MD")</f>
        <v>#REF!</v>
      </c>
      <c r="W15" s="251" t="e">
        <f>DATEDIF(G15,#REF!,"YM")</f>
        <v>#REF!</v>
      </c>
      <c r="X15" s="251" t="e">
        <f>DATEDIF(G15,#REF!,"Y")</f>
        <v>#REF!</v>
      </c>
      <c r="Y15" s="250" t="s">
        <v>98</v>
      </c>
      <c r="Z15" s="250" t="s">
        <v>98</v>
      </c>
      <c r="AA15" s="250" t="s">
        <v>216</v>
      </c>
      <c r="AB15" s="250"/>
      <c r="AC15" s="253" t="s">
        <v>348</v>
      </c>
      <c r="AD15" s="304">
        <v>44713</v>
      </c>
      <c r="AE15" s="253" t="s">
        <v>348</v>
      </c>
      <c r="AF15" s="264">
        <v>44135</v>
      </c>
      <c r="AG15" s="253"/>
      <c r="AH15" s="250"/>
      <c r="AI15" s="254"/>
      <c r="AJ15" s="255" t="s">
        <v>357</v>
      </c>
      <c r="AK15" s="256">
        <v>43745</v>
      </c>
      <c r="AL15" s="311">
        <f>AK15+365</f>
        <v>44110</v>
      </c>
    </row>
    <row r="16" spans="1:38" s="305" customFormat="1" ht="15" customHeight="1" thickTop="1" thickBot="1" x14ac:dyDescent="0.4">
      <c r="A16" s="361">
        <v>44166</v>
      </c>
      <c r="B16" s="258">
        <v>158</v>
      </c>
      <c r="C16" s="255" t="s">
        <v>474</v>
      </c>
      <c r="D16" s="303">
        <v>22726254</v>
      </c>
      <c r="E16" s="259">
        <v>20227262541</v>
      </c>
      <c r="F16" s="259" t="s">
        <v>563</v>
      </c>
      <c r="G16" s="244">
        <v>43449</v>
      </c>
      <c r="H16" s="245" t="e">
        <f>DATEDIF(G16,#REF!,"Y")</f>
        <v>#REF!</v>
      </c>
      <c r="I16" s="246" t="s">
        <v>383</v>
      </c>
      <c r="J16" s="260" t="s">
        <v>208</v>
      </c>
      <c r="K16" s="248" t="s">
        <v>25</v>
      </c>
      <c r="L16" s="249" t="s">
        <v>126</v>
      </c>
      <c r="M16" s="250" t="s">
        <v>70</v>
      </c>
      <c r="N16" s="250" t="s">
        <v>475</v>
      </c>
      <c r="O16" s="249">
        <v>8300</v>
      </c>
      <c r="P16" s="250" t="s">
        <v>5</v>
      </c>
      <c r="Q16" s="250" t="s">
        <v>5</v>
      </c>
      <c r="R16" s="248">
        <v>26392</v>
      </c>
      <c r="S16" s="250">
        <v>2994516485</v>
      </c>
      <c r="T16" s="243"/>
      <c r="U16" s="233" t="e">
        <f>DATEDIF(R16,#REF!,"Y")</f>
        <v>#REF!</v>
      </c>
      <c r="V16" s="251" t="e">
        <f>DATEDIF(G16,#REF!,"MD")</f>
        <v>#REF!</v>
      </c>
      <c r="W16" s="251" t="e">
        <f>DATEDIF(G16,#REF!,"YM")</f>
        <v>#REF!</v>
      </c>
      <c r="X16" s="251" t="e">
        <f>DATEDIF(G16,#REF!,"Y")</f>
        <v>#REF!</v>
      </c>
      <c r="Y16" s="250" t="s">
        <v>98</v>
      </c>
      <c r="Z16" s="250" t="s">
        <v>98</v>
      </c>
      <c r="AA16" s="250" t="s">
        <v>495</v>
      </c>
      <c r="AB16" s="250"/>
      <c r="AC16" s="253" t="s">
        <v>348</v>
      </c>
      <c r="AD16" s="252">
        <v>44679</v>
      </c>
      <c r="AE16" s="253" t="s">
        <v>348</v>
      </c>
      <c r="AF16" s="264">
        <v>44152</v>
      </c>
      <c r="AG16" s="253"/>
      <c r="AH16" s="250"/>
      <c r="AI16" s="254"/>
      <c r="AJ16" s="255" t="s">
        <v>357</v>
      </c>
      <c r="AK16" s="256">
        <v>43780</v>
      </c>
      <c r="AL16" s="311">
        <f>AK16+365</f>
        <v>44145</v>
      </c>
    </row>
    <row r="17" spans="1:38" s="12" customFormat="1" ht="15" customHeight="1" thickTop="1" thickBot="1" x14ac:dyDescent="0.4">
      <c r="A17" s="354">
        <v>44194</v>
      </c>
      <c r="B17" s="258">
        <v>39</v>
      </c>
      <c r="C17" s="255" t="s">
        <v>28</v>
      </c>
      <c r="D17" s="303">
        <v>8431338</v>
      </c>
      <c r="E17" s="259">
        <v>20084313387</v>
      </c>
      <c r="F17" s="259"/>
      <c r="G17" s="244">
        <v>41767</v>
      </c>
      <c r="H17" s="245" t="e">
        <f>DATEDIF(G17,#REF!,"Y")</f>
        <v>#REF!</v>
      </c>
      <c r="I17" s="246">
        <v>400800</v>
      </c>
      <c r="J17" s="260" t="s">
        <v>207</v>
      </c>
      <c r="K17" s="248" t="s">
        <v>12</v>
      </c>
      <c r="L17" s="249" t="s">
        <v>239</v>
      </c>
      <c r="M17" s="250" t="s">
        <v>29</v>
      </c>
      <c r="N17" s="250" t="s">
        <v>235</v>
      </c>
      <c r="O17" s="249">
        <v>8300</v>
      </c>
      <c r="P17" s="250" t="s">
        <v>5</v>
      </c>
      <c r="Q17" s="250" t="s">
        <v>5</v>
      </c>
      <c r="R17" s="248">
        <v>18872</v>
      </c>
      <c r="S17" s="250" t="s">
        <v>154</v>
      </c>
      <c r="T17" s="243" t="s">
        <v>203</v>
      </c>
      <c r="U17" s="233" t="e">
        <f>DATEDIF(R17,#REF!,"Y")</f>
        <v>#REF!</v>
      </c>
      <c r="V17" s="251" t="e">
        <f>DATEDIF(G17,#REF!,"MD")</f>
        <v>#REF!</v>
      </c>
      <c r="W17" s="251" t="e">
        <f>DATEDIF(G17,#REF!,"YM")</f>
        <v>#REF!</v>
      </c>
      <c r="X17" s="251" t="e">
        <f>DATEDIF(G17,#REF!,"Y")</f>
        <v>#REF!</v>
      </c>
      <c r="Y17" s="250"/>
      <c r="Z17" s="250"/>
      <c r="AA17" s="250" t="s">
        <v>216</v>
      </c>
      <c r="AB17" s="250"/>
      <c r="AC17" s="253" t="s">
        <v>348</v>
      </c>
      <c r="AD17" s="304">
        <v>44535</v>
      </c>
      <c r="AE17" s="255"/>
      <c r="AF17" s="252" t="s">
        <v>554</v>
      </c>
      <c r="AG17" s="253"/>
      <c r="AH17" s="250"/>
      <c r="AI17" s="254"/>
      <c r="AJ17" s="255" t="s">
        <v>355</v>
      </c>
      <c r="AK17" s="256">
        <v>43007</v>
      </c>
      <c r="AL17" s="311">
        <f>AK17+365</f>
        <v>43372</v>
      </c>
    </row>
    <row r="18" spans="1:38" s="12" customFormat="1" ht="15" customHeight="1" thickTop="1" x14ac:dyDescent="0.35">
      <c r="A18" s="247">
        <v>41</v>
      </c>
      <c r="B18" s="258">
        <v>179</v>
      </c>
      <c r="C18" s="255" t="s">
        <v>542</v>
      </c>
      <c r="D18" s="303">
        <v>36945281</v>
      </c>
      <c r="E18" s="320" t="s">
        <v>543</v>
      </c>
      <c r="F18" s="320" t="s">
        <v>564</v>
      </c>
      <c r="G18" s="301">
        <v>43714</v>
      </c>
      <c r="H18" s="245" t="e">
        <f>DATEDIF(G18,#REF!,"Y")</f>
        <v>#REF!</v>
      </c>
      <c r="I18" s="246" t="s">
        <v>374</v>
      </c>
      <c r="J18" s="260" t="s">
        <v>395</v>
      </c>
      <c r="K18" s="248" t="s">
        <v>396</v>
      </c>
      <c r="L18" s="249" t="s">
        <v>410</v>
      </c>
      <c r="M18" s="305" t="s">
        <v>398</v>
      </c>
      <c r="N18" s="305" t="s">
        <v>544</v>
      </c>
      <c r="O18" s="247">
        <v>8309</v>
      </c>
      <c r="P18" s="305" t="s">
        <v>439</v>
      </c>
      <c r="Q18" s="305" t="s">
        <v>5</v>
      </c>
      <c r="R18" s="322">
        <v>33872</v>
      </c>
      <c r="S18" s="243">
        <v>2996266439</v>
      </c>
      <c r="T18" s="305"/>
      <c r="U18" s="233" t="e">
        <f>DATEDIF(R18,#REF!,"Y")</f>
        <v>#REF!</v>
      </c>
      <c r="V18" s="251" t="e">
        <f>DATEDIF(G18,#REF!,"MD")</f>
        <v>#REF!</v>
      </c>
      <c r="W18" s="251" t="e">
        <f>DATEDIF(G18,#REF!,"YM")</f>
        <v>#REF!</v>
      </c>
      <c r="X18" s="251" t="e">
        <f>DATEDIF(G18,#REF!,"Y")</f>
        <v>#REF!</v>
      </c>
      <c r="Y18" s="305"/>
      <c r="Z18" s="305"/>
      <c r="AA18" s="305" t="s">
        <v>216</v>
      </c>
      <c r="AB18" s="305"/>
      <c r="AC18" s="345"/>
      <c r="AD18" s="264"/>
      <c r="AE18" s="253"/>
      <c r="AF18" s="264"/>
      <c r="AG18" s="305"/>
      <c r="AH18" s="305"/>
      <c r="AI18" s="305"/>
      <c r="AJ18" s="324" t="s">
        <v>357</v>
      </c>
      <c r="AK18" s="262">
        <v>43717</v>
      </c>
      <c r="AL18" s="311">
        <f>AK18+365</f>
        <v>44082</v>
      </c>
    </row>
  </sheetData>
  <mergeCells count="23">
    <mergeCell ref="S2:S3"/>
    <mergeCell ref="T2:V2"/>
    <mergeCell ref="W2:W3"/>
    <mergeCell ref="X2:X3"/>
    <mergeCell ref="Y2:Y3"/>
    <mergeCell ref="R2:R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F2:F3"/>
    <mergeCell ref="A2:A3"/>
    <mergeCell ref="B2:B3"/>
    <mergeCell ref="C2:C3"/>
    <mergeCell ref="D2:D3"/>
    <mergeCell ref="E2:E3"/>
  </mergeCells>
  <hyperlinks>
    <hyperlink ref="AA4" r:id="rId1" display="01) RRHH\IBAÑEZ IGNACIO\licencia de conducir VTO 29-05-2021.pdf" xr:uid="{00000000-0004-0000-0600-000000000000}"/>
    <hyperlink ref="AC4" r:id="rId2" display="01) RRHH\IBAÑEZ IGNACIO\MD vto 17-04-2021.pdf" xr:uid="{00000000-0004-0000-0600-000001000000}"/>
    <hyperlink ref="AH4" r:id="rId3" display="01) RRHH\IBAÑEZ IGNACIO\PREOCUPACIONAL 11-04-2019 ibañez bendersky ignacio .pdf" xr:uid="{00000000-0004-0000-0600-000002000000}"/>
    <hyperlink ref="AC5" r:id="rId4" display="01) RRHH\CERDA DAMIAN NICOLAS\MD VTO 25-11-2021.pdf" xr:uid="{00000000-0004-0000-0600-000003000000}"/>
    <hyperlink ref="AH5" r:id="rId5" display="01) RRHH\CERDA DAMIAN NICOLAS\Ex. Preocupacional 11-11-2019.pdf" xr:uid="{00000000-0004-0000-0600-000004000000}"/>
    <hyperlink ref="AA5" r:id="rId6" display="01) RRHH\CERDA DAMIAN NICOLAS\Lic. de Conducir Vto.08-11-2022.pdf" xr:uid="{00000000-0004-0000-0600-000005000000}"/>
    <hyperlink ref="AC9" r:id="rId7" display="01) RRHH\MOYANO, LUCIANO DARIO\Manjeo Defensivo VTO 17-11-2020.pdf" xr:uid="{00000000-0004-0000-0600-000006000000}"/>
    <hyperlink ref="AH9" r:id="rId8" display="01) RRHH\MOYANO, LUCIANO DARIO\PRE OCUPACIONAL VTO 06-11-2019.pdf" xr:uid="{00000000-0004-0000-0600-000007000000}"/>
    <hyperlink ref="AA9" r:id="rId9" display="01) RRHH\MOYANO, LUCIANO DARIO" xr:uid="{00000000-0004-0000-0600-000008000000}"/>
    <hyperlink ref="AH7" r:id="rId10" display="01) RRHH\ARANGUIZ ALEJANDRO MATIAS\Ex. Preocupacional 30-12-2019.pdf" xr:uid="{00000000-0004-0000-0600-000009000000}"/>
    <hyperlink ref="AC11" r:id="rId11" display="01) RRHH\LUCERO GUSTAVO JAVIER\MD VTO 31-05-2021 NASER.pdf" xr:uid="{00000000-0004-0000-0600-00000A000000}"/>
    <hyperlink ref="AA11" r:id="rId12" display="01) RRHH\LUCERO GUSTAVO JAVIER\Lic. de Conducir E. VTO 03-03-2020.pdf" xr:uid="{00000000-0004-0000-0600-00000B000000}"/>
    <hyperlink ref="AH11" r:id="rId13" display="01) RRHH\LUCERO GUSTAVO JAVIER\Ex. Preocupacional VTO 03-05-2020.pdf" xr:uid="{00000000-0004-0000-0600-00000C000000}"/>
    <hyperlink ref="AH10" r:id="rId14" display="01) RRHH\ALVAREZ GASPAR\Ex. Preocupacional VTO 11-04-2020.pdf" xr:uid="{00000000-0004-0000-0600-00000D000000}"/>
    <hyperlink ref="AA10" r:id="rId15" display="01) RRHH\ALVAREZ GASPAR\licencia VTO 16-01-2021.pdf" xr:uid="{00000000-0004-0000-0600-00000E000000}"/>
    <hyperlink ref="AC10" r:id="rId16" display="01) RRHH\ALVAREZ GASPAR\MD vto 17-04-2021.pdf" xr:uid="{00000000-0004-0000-0600-00000F000000}"/>
    <hyperlink ref="AD15" r:id="rId17" display="01) RRHH\LEON, MARTIN MIGUEL\LIC DE CONDUCIR VTO 01-06-22.pdf" xr:uid="{00000000-0004-0000-0600-000010000000}"/>
    <hyperlink ref="AF15" r:id="rId18" display="01) RRHH\LEON, MARTIN MIGUEL\MDpdf - copia (3).pdf" xr:uid="{00000000-0004-0000-0600-000011000000}"/>
    <hyperlink ref="AK15" r:id="rId19" display="01) RRHH\LEON, MARTIN MIGUEL\periodico 07-10-2019.pdf" xr:uid="{00000000-0004-0000-0600-000012000000}"/>
    <hyperlink ref="AD17" r:id="rId20" display="01) RRHH\SALASSA, Carlos\Carnet Vto 05-12-21.pdf" xr:uid="{00000000-0004-0000-0600-000013000000}"/>
    <hyperlink ref="AK17" r:id="rId21" display="01) RRHH\SALASSA, Carlos\PERIODICO SALASSA CARLOS 29-09-2017.pdf" xr:uid="{00000000-0004-0000-0600-000014000000}"/>
    <hyperlink ref="AF17" r:id="rId22" display="01) RRHH\SALASSA, Carlos\MD vto 05-09-2019.pdf" xr:uid="{00000000-0004-0000-0600-000015000000}"/>
    <hyperlink ref="AD16" r:id="rId23" display="01) RRHH\OLIVA, ANGEL DAVID\LICENCIA OLIVA.pdf" xr:uid="{00000000-0004-0000-0600-000016000000}"/>
    <hyperlink ref="AK16" r:id="rId24" display="01) RRHH\OLIVA, ANGEL DAVID\periodico 11-11-2019.pdf" xr:uid="{00000000-0004-0000-0600-000017000000}"/>
    <hyperlink ref="AF16" r:id="rId25" display="01) RRHH\OLIVA, ANGEL DAVID\MD Vto 17-11-2020.pdf" xr:uid="{00000000-0004-0000-0600-000018000000}"/>
    <hyperlink ref="AK18" r:id="rId26" display="01) RRHH\TURRION JAVIER NICOLAS\Ex. Preocupacional 09-09-2019 .pdf" xr:uid="{00000000-0004-0000-0600-000019000000}"/>
  </hyperlinks>
  <pageMargins left="0.7" right="0.7" top="0.75" bottom="0.75" header="0.3" footer="0.3"/>
  <pageSetup paperSize="9" orientation="portrait" verticalDpi="1200" r:id="rId27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AJ21"/>
  <sheetViews>
    <sheetView zoomScaleNormal="100" workbookViewId="0">
      <pane ySplit="3" topLeftCell="A4" activePane="bottomLeft" state="frozen"/>
      <selection pane="bottomLeft" activeCell="AJ3" sqref="A2:AJ3"/>
    </sheetView>
  </sheetViews>
  <sheetFormatPr baseColWidth="10" defaultColWidth="11.69140625" defaultRowHeight="15.75" customHeight="1" x14ac:dyDescent="0.35"/>
  <cols>
    <col min="1" max="1" width="8.4609375" style="2" bestFit="1" customWidth="1"/>
    <col min="2" max="2" width="4" style="2" bestFit="1" customWidth="1"/>
    <col min="3" max="3" width="23.765625" style="2" bestFit="1" customWidth="1"/>
    <col min="4" max="4" width="10.23046875" style="2" bestFit="1" customWidth="1"/>
    <col min="5" max="5" width="15.23046875" style="2" customWidth="1"/>
    <col min="6" max="6" width="8.4609375" style="2" bestFit="1" customWidth="1"/>
    <col min="7" max="7" width="11.765625" style="3" bestFit="1" customWidth="1"/>
    <col min="8" max="8" width="9" style="4" bestFit="1" customWidth="1"/>
    <col min="9" max="9" width="17.3046875" style="2" customWidth="1"/>
    <col min="10" max="10" width="17.3046875" style="4" customWidth="1"/>
    <col min="11" max="11" width="22.765625" style="3" customWidth="1"/>
    <col min="12" max="12" width="10.4609375" style="4" bestFit="1" customWidth="1"/>
    <col min="13" max="13" width="8.3046875" style="2" bestFit="1" customWidth="1"/>
    <col min="14" max="14" width="9" style="2" bestFit="1" customWidth="1"/>
    <col min="15" max="15" width="8.23046875" style="2" bestFit="1" customWidth="1"/>
    <col min="16" max="16" width="8.07421875" style="2" bestFit="1" customWidth="1"/>
    <col min="17" max="17" width="4.4609375" style="2" bestFit="1" customWidth="1"/>
    <col min="18" max="18" width="11.69140625" style="2"/>
    <col min="19" max="19" width="11.765625" style="2" bestFit="1" customWidth="1"/>
    <col min="20" max="20" width="6" style="2" bestFit="1" customWidth="1"/>
    <col min="21" max="22" width="3.84375" style="2" customWidth="1"/>
    <col min="23" max="16384" width="11.69140625" style="2"/>
  </cols>
  <sheetData>
    <row r="1" spans="1:36" ht="15.75" customHeight="1" thickBot="1" x14ac:dyDescent="0.4"/>
    <row r="2" spans="1:36" ht="15.75" customHeight="1" thickBot="1" x14ac:dyDescent="0.4">
      <c r="A2" s="502" t="s">
        <v>93</v>
      </c>
      <c r="B2" s="502" t="s">
        <v>10</v>
      </c>
      <c r="C2" s="502" t="s">
        <v>6</v>
      </c>
      <c r="D2" s="502" t="s">
        <v>0</v>
      </c>
      <c r="E2" s="502" t="s">
        <v>103</v>
      </c>
      <c r="F2" s="502" t="s">
        <v>112</v>
      </c>
      <c r="G2" s="502" t="s">
        <v>192</v>
      </c>
      <c r="H2" s="502" t="s">
        <v>185</v>
      </c>
      <c r="I2" s="502" t="s">
        <v>176</v>
      </c>
      <c r="J2" s="502" t="s">
        <v>186</v>
      </c>
      <c r="K2" s="502" t="s">
        <v>8</v>
      </c>
      <c r="L2" s="502" t="s">
        <v>1</v>
      </c>
      <c r="M2" s="502" t="s">
        <v>177</v>
      </c>
      <c r="N2" s="502" t="s">
        <v>178</v>
      </c>
      <c r="O2" s="502" t="s">
        <v>191</v>
      </c>
      <c r="P2" s="502" t="s">
        <v>190</v>
      </c>
      <c r="Q2" s="502" t="s">
        <v>179</v>
      </c>
      <c r="R2" s="502" t="s">
        <v>180</v>
      </c>
      <c r="S2" s="502" t="s">
        <v>181</v>
      </c>
      <c r="T2" s="502" t="s">
        <v>182</v>
      </c>
      <c r="U2" s="502"/>
      <c r="V2" s="502"/>
      <c r="W2" s="502" t="s">
        <v>22</v>
      </c>
      <c r="X2" s="502" t="s">
        <v>23</v>
      </c>
      <c r="Y2" s="502" t="s">
        <v>9</v>
      </c>
    </row>
    <row r="3" spans="1:36" ht="15.75" customHeight="1" thickBot="1" x14ac:dyDescent="0.4">
      <c r="A3" s="502"/>
      <c r="B3" s="502"/>
      <c r="C3" s="502"/>
      <c r="D3" s="502"/>
      <c r="E3" s="502"/>
      <c r="F3" s="502"/>
      <c r="G3" s="502"/>
      <c r="H3" s="502"/>
      <c r="I3" s="502"/>
      <c r="J3" s="502"/>
      <c r="K3" s="502"/>
      <c r="L3" s="502"/>
      <c r="M3" s="502"/>
      <c r="N3" s="502"/>
      <c r="O3" s="502"/>
      <c r="P3" s="502"/>
      <c r="Q3" s="502"/>
      <c r="R3" s="502"/>
      <c r="S3" s="502"/>
      <c r="T3" s="50" t="s">
        <v>187</v>
      </c>
      <c r="U3" s="50" t="s">
        <v>188</v>
      </c>
      <c r="V3" s="50" t="s">
        <v>189</v>
      </c>
      <c r="W3" s="502"/>
      <c r="X3" s="502"/>
      <c r="Y3" s="502"/>
    </row>
    <row r="4" spans="1:36" s="44" customFormat="1" ht="15" customHeight="1" thickTop="1" thickBot="1" x14ac:dyDescent="0.4">
      <c r="A4" s="301">
        <v>43502</v>
      </c>
      <c r="B4" s="300">
        <v>141</v>
      </c>
      <c r="C4" s="255" t="s">
        <v>432</v>
      </c>
      <c r="D4" s="259">
        <v>23300095739</v>
      </c>
      <c r="E4" s="200" t="s">
        <v>100</v>
      </c>
      <c r="F4" s="244">
        <v>43325</v>
      </c>
      <c r="G4" s="325" t="s">
        <v>383</v>
      </c>
      <c r="H4" s="326" t="s">
        <v>208</v>
      </c>
      <c r="I4" s="313" t="s">
        <v>25</v>
      </c>
      <c r="J4" s="253" t="s">
        <v>117</v>
      </c>
      <c r="K4" s="255" t="s">
        <v>70</v>
      </c>
      <c r="L4" s="255" t="s">
        <v>436</v>
      </c>
      <c r="M4" s="253">
        <v>8316</v>
      </c>
      <c r="N4" s="255" t="s">
        <v>4</v>
      </c>
      <c r="O4" s="255" t="s">
        <v>5</v>
      </c>
      <c r="P4" s="313">
        <v>30406</v>
      </c>
      <c r="Q4" s="255">
        <v>2994237356</v>
      </c>
      <c r="R4" s="242"/>
      <c r="S4" s="242" t="e">
        <f>DATEDIF(P4,#REF!,"Y")</f>
        <v>#REF!</v>
      </c>
      <c r="T4" s="327" t="e">
        <f>DATEDIF(F4,#REF!,"MD")</f>
        <v>#REF!</v>
      </c>
      <c r="U4" s="327" t="e">
        <f>DATEDIF(F4,#REF!,"YM")</f>
        <v>#REF!</v>
      </c>
      <c r="V4" s="327" t="e">
        <f>DATEDIF(F4,#REF!,"Y")</f>
        <v>#REF!</v>
      </c>
      <c r="W4" s="255" t="s">
        <v>98</v>
      </c>
      <c r="X4" s="255" t="s">
        <v>98</v>
      </c>
      <c r="Y4" s="255" t="s">
        <v>216</v>
      </c>
      <c r="Z4" s="255"/>
      <c r="AA4" s="253" t="s">
        <v>367</v>
      </c>
      <c r="AB4" s="332">
        <v>43921</v>
      </c>
      <c r="AC4" s="253" t="s">
        <v>367</v>
      </c>
      <c r="AD4" s="332">
        <v>44177</v>
      </c>
      <c r="AE4" s="253"/>
      <c r="AF4" s="255"/>
      <c r="AG4" s="331"/>
      <c r="AH4" s="255" t="s">
        <v>357</v>
      </c>
      <c r="AI4" s="333">
        <v>43322</v>
      </c>
      <c r="AJ4" s="313">
        <f>AI4+365</f>
        <v>43687</v>
      </c>
    </row>
    <row r="5" spans="1:36" s="44" customFormat="1" ht="15" customHeight="1" thickTop="1" thickBot="1" x14ac:dyDescent="0.4">
      <c r="A5" s="301">
        <v>43516</v>
      </c>
      <c r="B5" s="300">
        <v>152</v>
      </c>
      <c r="C5" s="255" t="s">
        <v>465</v>
      </c>
      <c r="D5" s="259">
        <v>20350377523</v>
      </c>
      <c r="E5" s="200" t="s">
        <v>100</v>
      </c>
      <c r="F5" s="244">
        <v>43353</v>
      </c>
      <c r="G5" s="325" t="s">
        <v>383</v>
      </c>
      <c r="H5" s="326" t="s">
        <v>208</v>
      </c>
      <c r="I5" s="313" t="s">
        <v>25</v>
      </c>
      <c r="J5" s="253" t="s">
        <v>117</v>
      </c>
      <c r="K5" s="255" t="s">
        <v>363</v>
      </c>
      <c r="L5" s="255" t="s">
        <v>456</v>
      </c>
      <c r="M5" s="253">
        <v>8322</v>
      </c>
      <c r="N5" s="255" t="s">
        <v>381</v>
      </c>
      <c r="O5" s="255" t="s">
        <v>5</v>
      </c>
      <c r="P5" s="313">
        <v>32915</v>
      </c>
      <c r="Q5" s="255">
        <v>2995355272</v>
      </c>
      <c r="R5" s="242" t="s">
        <v>455</v>
      </c>
      <c r="S5" s="242" t="e">
        <f>DATEDIF(P5,#REF!,"Y")</f>
        <v>#REF!</v>
      </c>
      <c r="T5" s="327" t="e">
        <f>DATEDIF(F5,#REF!,"MD")</f>
        <v>#REF!</v>
      </c>
      <c r="U5" s="327" t="e">
        <f>DATEDIF(F5,#REF!,"YM")</f>
        <v>#REF!</v>
      </c>
      <c r="V5" s="327" t="e">
        <f>DATEDIF(F5,#REF!,"Y")</f>
        <v>#REF!</v>
      </c>
      <c r="W5" s="255" t="s">
        <v>98</v>
      </c>
      <c r="X5" s="255" t="s">
        <v>98</v>
      </c>
      <c r="Y5" s="255" t="s">
        <v>216</v>
      </c>
      <c r="Z5" s="255"/>
      <c r="AA5" s="253" t="s">
        <v>348</v>
      </c>
      <c r="AB5" s="332">
        <v>43715</v>
      </c>
      <c r="AC5" s="253" t="s">
        <v>348</v>
      </c>
      <c r="AD5" s="332">
        <v>44039</v>
      </c>
      <c r="AE5" s="253"/>
      <c r="AF5" s="255"/>
      <c r="AG5" s="331"/>
      <c r="AH5" s="255" t="s">
        <v>357</v>
      </c>
      <c r="AI5" s="333">
        <v>43350</v>
      </c>
      <c r="AJ5" s="313">
        <v>43715</v>
      </c>
    </row>
    <row r="6" spans="1:36" s="44" customFormat="1" ht="15" customHeight="1" thickTop="1" thickBot="1" x14ac:dyDescent="0.4">
      <c r="A6" s="301">
        <v>43524</v>
      </c>
      <c r="B6" s="300">
        <v>142</v>
      </c>
      <c r="C6" s="255" t="s">
        <v>434</v>
      </c>
      <c r="D6" s="259">
        <v>20277863643</v>
      </c>
      <c r="E6" s="200" t="s">
        <v>313</v>
      </c>
      <c r="F6" s="244">
        <v>43339</v>
      </c>
      <c r="G6" s="325" t="s">
        <v>374</v>
      </c>
      <c r="H6" s="326" t="s">
        <v>207</v>
      </c>
      <c r="I6" s="313" t="s">
        <v>12</v>
      </c>
      <c r="J6" s="253" t="s">
        <v>239</v>
      </c>
      <c r="K6" s="255" t="s">
        <v>433</v>
      </c>
      <c r="L6" s="255" t="s">
        <v>435</v>
      </c>
      <c r="M6" s="253">
        <v>8322</v>
      </c>
      <c r="N6" s="255" t="s">
        <v>381</v>
      </c>
      <c r="O6" s="255" t="s">
        <v>5</v>
      </c>
      <c r="P6" s="313">
        <v>29332</v>
      </c>
      <c r="Q6" s="255">
        <v>2995945732</v>
      </c>
      <c r="R6" s="242"/>
      <c r="S6" s="242" t="e">
        <f>DATEDIF(P6,#REF!,"Y")</f>
        <v>#REF!</v>
      </c>
      <c r="T6" s="327" t="e">
        <f>DATEDIF(F6,#REF!,"MD")</f>
        <v>#REF!</v>
      </c>
      <c r="U6" s="327" t="e">
        <f>DATEDIF(F6,#REF!,"YM")</f>
        <v>#REF!</v>
      </c>
      <c r="V6" s="327" t="e">
        <f>DATEDIF(F6,#REF!,"Y")</f>
        <v>#REF!</v>
      </c>
      <c r="W6" s="255"/>
      <c r="X6" s="255"/>
      <c r="Y6" s="255" t="s">
        <v>216</v>
      </c>
      <c r="Z6" s="255"/>
      <c r="AA6" s="253" t="s">
        <v>348</v>
      </c>
      <c r="AB6" s="332">
        <v>44307</v>
      </c>
      <c r="AC6" s="253" t="s">
        <v>348</v>
      </c>
      <c r="AD6" s="332">
        <v>44135</v>
      </c>
      <c r="AE6" s="253"/>
      <c r="AF6" s="255"/>
      <c r="AG6" s="331"/>
      <c r="AH6" s="255" t="s">
        <v>357</v>
      </c>
      <c r="AI6" s="333">
        <v>43335</v>
      </c>
      <c r="AJ6" s="313">
        <f>AI6+365</f>
        <v>43700</v>
      </c>
    </row>
    <row r="7" spans="1:36" s="44" customFormat="1" ht="15" customHeight="1" thickTop="1" thickBot="1" x14ac:dyDescent="0.4">
      <c r="A7" s="301">
        <v>43542</v>
      </c>
      <c r="B7" s="300">
        <v>9</v>
      </c>
      <c r="C7" s="255" t="s">
        <v>38</v>
      </c>
      <c r="D7" s="259">
        <v>20233647870</v>
      </c>
      <c r="E7" s="200" t="s">
        <v>100</v>
      </c>
      <c r="F7" s="244">
        <v>42186</v>
      </c>
      <c r="G7" s="325">
        <v>127901</v>
      </c>
      <c r="H7" s="326" t="s">
        <v>208</v>
      </c>
      <c r="I7" s="313" t="s">
        <v>25</v>
      </c>
      <c r="J7" s="253" t="s">
        <v>206</v>
      </c>
      <c r="K7" s="255" t="s">
        <v>363</v>
      </c>
      <c r="L7" s="255" t="s">
        <v>335</v>
      </c>
      <c r="M7" s="253">
        <v>8307</v>
      </c>
      <c r="N7" s="255" t="s">
        <v>37</v>
      </c>
      <c r="O7" s="255" t="s">
        <v>3</v>
      </c>
      <c r="P7" s="313">
        <v>27011</v>
      </c>
      <c r="Q7" s="255" t="s">
        <v>467</v>
      </c>
      <c r="R7" s="242" t="s">
        <v>200</v>
      </c>
      <c r="S7" s="242" t="e">
        <f>DATEDIF(P7,#REF!,"Y")</f>
        <v>#REF!</v>
      </c>
      <c r="T7" s="327" t="e">
        <f>DATEDIF(F7,#REF!,"MD")</f>
        <v>#REF!</v>
      </c>
      <c r="U7" s="327" t="e">
        <f>DATEDIF(F7,#REF!,"YM")</f>
        <v>#REF!</v>
      </c>
      <c r="V7" s="327" t="e">
        <f>DATEDIF(F7,#REF!,"Y")</f>
        <v>#REF!</v>
      </c>
      <c r="W7" s="255" t="s">
        <v>98</v>
      </c>
      <c r="X7" s="255" t="s">
        <v>98</v>
      </c>
      <c r="Y7" s="255" t="s">
        <v>31</v>
      </c>
      <c r="Z7" s="255"/>
      <c r="AA7" s="253" t="s">
        <v>348</v>
      </c>
      <c r="AB7" s="334">
        <v>43730</v>
      </c>
      <c r="AC7" s="253" t="s">
        <v>348</v>
      </c>
      <c r="AD7" s="334">
        <v>43644</v>
      </c>
      <c r="AE7" s="253"/>
      <c r="AF7" s="255"/>
      <c r="AG7" s="331"/>
      <c r="AH7" s="324"/>
      <c r="AI7" s="335">
        <v>43364</v>
      </c>
      <c r="AJ7" s="312">
        <f>AI7+365</f>
        <v>43729</v>
      </c>
    </row>
    <row r="8" spans="1:36" s="44" customFormat="1" ht="15" customHeight="1" thickTop="1" thickBot="1" x14ac:dyDescent="0.4">
      <c r="A8" s="301">
        <v>43619</v>
      </c>
      <c r="B8" s="319">
        <v>139</v>
      </c>
      <c r="C8" s="285" t="s">
        <v>422</v>
      </c>
      <c r="D8" s="287" t="s">
        <v>423</v>
      </c>
      <c r="E8" s="200" t="s">
        <v>100</v>
      </c>
      <c r="F8" s="288">
        <v>43313</v>
      </c>
      <c r="G8" s="336" t="s">
        <v>374</v>
      </c>
      <c r="H8" s="337" t="s">
        <v>84</v>
      </c>
      <c r="I8" s="314" t="s">
        <v>24</v>
      </c>
      <c r="J8" s="295" t="s">
        <v>421</v>
      </c>
      <c r="K8" s="285" t="s">
        <v>424</v>
      </c>
      <c r="L8" s="285" t="s">
        <v>425</v>
      </c>
      <c r="M8" s="295">
        <v>8300</v>
      </c>
      <c r="N8" s="285" t="s">
        <v>5</v>
      </c>
      <c r="O8" s="285" t="s">
        <v>5</v>
      </c>
      <c r="P8" s="314">
        <v>29234</v>
      </c>
      <c r="Q8" s="285" t="s">
        <v>426</v>
      </c>
      <c r="R8" s="338"/>
      <c r="S8" s="232" t="e">
        <f>DATEDIF(P8,#REF!,"Y")</f>
        <v>#REF!</v>
      </c>
      <c r="T8" s="339" t="e">
        <f>DATEDIF(F8,#REF!,"MD")</f>
        <v>#REF!</v>
      </c>
      <c r="U8" s="339" t="e">
        <f>DATEDIF(F8,#REF!,"YM")</f>
        <v>#REF!</v>
      </c>
      <c r="V8" s="339" t="e">
        <f>DATEDIF(F8,#REF!,"Y")</f>
        <v>#REF!</v>
      </c>
      <c r="W8" s="285"/>
      <c r="X8" s="285"/>
      <c r="Y8" s="285" t="s">
        <v>216</v>
      </c>
      <c r="Z8" s="285"/>
      <c r="AA8" s="295"/>
      <c r="AB8" s="340"/>
      <c r="AC8" s="295"/>
      <c r="AD8" s="340"/>
      <c r="AE8" s="295"/>
      <c r="AF8" s="285"/>
      <c r="AG8" s="341"/>
      <c r="AH8" s="285" t="s">
        <v>357</v>
      </c>
      <c r="AI8" s="342">
        <v>43315</v>
      </c>
      <c r="AJ8" s="311">
        <f>AI8+365</f>
        <v>43680</v>
      </c>
    </row>
    <row r="9" spans="1:36" s="44" customFormat="1" ht="15" customHeight="1" thickTop="1" thickBot="1" x14ac:dyDescent="0.4">
      <c r="A9" s="301">
        <v>43621</v>
      </c>
      <c r="B9" s="300">
        <v>149</v>
      </c>
      <c r="C9" s="255" t="s">
        <v>449</v>
      </c>
      <c r="D9" s="259">
        <v>20277898900</v>
      </c>
      <c r="E9" s="200" t="s">
        <v>100</v>
      </c>
      <c r="F9" s="244">
        <v>43344</v>
      </c>
      <c r="G9" s="325" t="s">
        <v>383</v>
      </c>
      <c r="H9" s="326" t="s">
        <v>208</v>
      </c>
      <c r="I9" s="313" t="s">
        <v>25</v>
      </c>
      <c r="J9" s="253" t="s">
        <v>81</v>
      </c>
      <c r="K9" s="255" t="s">
        <v>219</v>
      </c>
      <c r="L9" s="255" t="s">
        <v>450</v>
      </c>
      <c r="M9" s="253">
        <v>8316</v>
      </c>
      <c r="N9" s="255" t="s">
        <v>4</v>
      </c>
      <c r="O9" s="255" t="s">
        <v>5</v>
      </c>
      <c r="P9" s="313">
        <v>29388</v>
      </c>
      <c r="Q9" s="265" t="s">
        <v>458</v>
      </c>
      <c r="R9" s="242"/>
      <c r="S9" s="232" t="e">
        <f>DATEDIF(P9,#REF!,"Y")</f>
        <v>#REF!</v>
      </c>
      <c r="T9" s="327" t="e">
        <f>DATEDIF(F9,#REF!,"MD")</f>
        <v>#REF!</v>
      </c>
      <c r="U9" s="327" t="e">
        <f>DATEDIF(F9,#REF!,"YM")</f>
        <v>#REF!</v>
      </c>
      <c r="V9" s="327" t="e">
        <f>DATEDIF(F9,#REF!,"Y")</f>
        <v>#REF!</v>
      </c>
      <c r="W9" s="255" t="s">
        <v>98</v>
      </c>
      <c r="X9" s="255" t="s">
        <v>98</v>
      </c>
      <c r="Y9" s="255" t="s">
        <v>216</v>
      </c>
      <c r="Z9" s="255"/>
      <c r="AA9" s="253" t="s">
        <v>348</v>
      </c>
      <c r="AB9" s="332">
        <v>43955</v>
      </c>
      <c r="AC9" s="253"/>
      <c r="AD9" s="332">
        <v>44264</v>
      </c>
      <c r="AE9" s="253" t="s">
        <v>367</v>
      </c>
      <c r="AF9" s="332">
        <v>43622</v>
      </c>
      <c r="AG9" s="331" t="s">
        <v>480</v>
      </c>
      <c r="AH9" s="255" t="s">
        <v>357</v>
      </c>
      <c r="AI9" s="333">
        <v>43336</v>
      </c>
      <c r="AJ9" s="311">
        <f>AI9+365</f>
        <v>43701</v>
      </c>
    </row>
    <row r="10" spans="1:36" s="44" customFormat="1" ht="15" customHeight="1" thickTop="1" thickBot="1" x14ac:dyDescent="0.4">
      <c r="A10" s="301">
        <v>43623</v>
      </c>
      <c r="B10" s="300">
        <v>134</v>
      </c>
      <c r="C10" s="255" t="s">
        <v>393</v>
      </c>
      <c r="D10" s="259" t="s">
        <v>394</v>
      </c>
      <c r="E10" s="200" t="s">
        <v>100</v>
      </c>
      <c r="F10" s="244">
        <v>43222</v>
      </c>
      <c r="G10" s="325" t="s">
        <v>374</v>
      </c>
      <c r="H10" s="326" t="s">
        <v>395</v>
      </c>
      <c r="I10" s="313" t="s">
        <v>396</v>
      </c>
      <c r="J10" s="253" t="s">
        <v>397</v>
      </c>
      <c r="K10" s="255" t="s">
        <v>398</v>
      </c>
      <c r="L10" s="255" t="s">
        <v>399</v>
      </c>
      <c r="M10" s="253">
        <v>8324</v>
      </c>
      <c r="N10" s="255" t="s">
        <v>400</v>
      </c>
      <c r="O10" s="255" t="s">
        <v>3</v>
      </c>
      <c r="P10" s="313">
        <v>28258</v>
      </c>
      <c r="Q10" s="255" t="s">
        <v>401</v>
      </c>
      <c r="R10" s="242" t="s">
        <v>200</v>
      </c>
      <c r="S10" s="232" t="e">
        <f>DATEDIF(P10,#REF!,"Y")</f>
        <v>#REF!</v>
      </c>
      <c r="T10" s="327" t="e">
        <f>DATEDIF(F10,#REF!,"MD")</f>
        <v>#REF!</v>
      </c>
      <c r="U10" s="327" t="e">
        <f>DATEDIF(F10,#REF!,"YM")</f>
        <v>#REF!</v>
      </c>
      <c r="V10" s="327" t="e">
        <f>DATEDIF(F10,#REF!,"Y")</f>
        <v>#REF!</v>
      </c>
      <c r="W10" s="255"/>
      <c r="X10" s="255"/>
      <c r="Y10" s="255" t="s">
        <v>216</v>
      </c>
      <c r="Z10" s="255"/>
      <c r="AA10" s="253"/>
      <c r="AB10" s="332"/>
      <c r="AC10" s="253"/>
      <c r="AD10" s="343"/>
      <c r="AE10" s="253"/>
      <c r="AF10" s="255"/>
      <c r="AG10" s="331"/>
      <c r="AH10" s="255"/>
      <c r="AI10" s="344"/>
      <c r="AJ10" s="311"/>
    </row>
    <row r="11" spans="1:36" s="44" customFormat="1" ht="15" customHeight="1" thickTop="1" thickBot="1" x14ac:dyDescent="0.4">
      <c r="A11" s="301">
        <v>43649</v>
      </c>
      <c r="B11" s="300">
        <v>109</v>
      </c>
      <c r="C11" s="255" t="s">
        <v>148</v>
      </c>
      <c r="D11" s="259">
        <v>20239183892</v>
      </c>
      <c r="E11" s="200" t="s">
        <v>100</v>
      </c>
      <c r="F11" s="244">
        <v>42208</v>
      </c>
      <c r="G11" s="325">
        <v>127901</v>
      </c>
      <c r="H11" s="326" t="s">
        <v>208</v>
      </c>
      <c r="I11" s="313" t="s">
        <v>25</v>
      </c>
      <c r="J11" s="253" t="s">
        <v>126</v>
      </c>
      <c r="K11" s="255" t="s">
        <v>226</v>
      </c>
      <c r="L11" s="255" t="s">
        <v>482</v>
      </c>
      <c r="M11" s="253">
        <v>8300</v>
      </c>
      <c r="N11" s="255" t="s">
        <v>5</v>
      </c>
      <c r="O11" s="255" t="s">
        <v>5</v>
      </c>
      <c r="P11" s="313">
        <v>26999</v>
      </c>
      <c r="Q11" s="255" t="s">
        <v>161</v>
      </c>
      <c r="R11" s="242" t="s">
        <v>200</v>
      </c>
      <c r="S11" s="232" t="e">
        <f>DATEDIF(P11,#REF!,"Y")</f>
        <v>#REF!</v>
      </c>
      <c r="T11" s="327" t="e">
        <f>DATEDIF(F11,#REF!,"MD")</f>
        <v>#REF!</v>
      </c>
      <c r="U11" s="327" t="e">
        <f>DATEDIF(F11,#REF!,"YM")</f>
        <v>#REF!</v>
      </c>
      <c r="V11" s="327" t="e">
        <f>DATEDIF(F11,#REF!,"Y")</f>
        <v>#REF!</v>
      </c>
      <c r="W11" s="255" t="s">
        <v>98</v>
      </c>
      <c r="X11" s="255" t="s">
        <v>98</v>
      </c>
      <c r="Y11" s="255" t="s">
        <v>216</v>
      </c>
      <c r="Z11" s="255"/>
      <c r="AA11" s="253" t="s">
        <v>348</v>
      </c>
      <c r="AB11" s="328">
        <v>44185</v>
      </c>
      <c r="AC11" s="253" t="s">
        <v>348</v>
      </c>
      <c r="AD11" s="329">
        <v>43659</v>
      </c>
      <c r="AE11" s="253" t="s">
        <v>348</v>
      </c>
      <c r="AF11" s="330">
        <v>43639</v>
      </c>
      <c r="AG11" s="331"/>
      <c r="AH11" s="255" t="s">
        <v>355</v>
      </c>
      <c r="AI11" s="330">
        <v>43315</v>
      </c>
      <c r="AJ11" s="311">
        <f>AI11+365</f>
        <v>43680</v>
      </c>
    </row>
    <row r="12" spans="1:36" s="44" customFormat="1" ht="15" customHeight="1" thickTop="1" thickBot="1" x14ac:dyDescent="0.4">
      <c r="A12" s="301">
        <v>43668</v>
      </c>
      <c r="B12" s="300">
        <v>150</v>
      </c>
      <c r="C12" s="255" t="s">
        <v>451</v>
      </c>
      <c r="D12" s="259">
        <v>20332884280</v>
      </c>
      <c r="E12" s="200" t="s">
        <v>100</v>
      </c>
      <c r="F12" s="244">
        <v>43344</v>
      </c>
      <c r="G12" s="325" t="s">
        <v>389</v>
      </c>
      <c r="H12" s="326" t="s">
        <v>207</v>
      </c>
      <c r="I12" s="313" t="s">
        <v>12</v>
      </c>
      <c r="J12" s="253" t="s">
        <v>239</v>
      </c>
      <c r="K12" s="255" t="s">
        <v>250</v>
      </c>
      <c r="L12" s="255" t="s">
        <v>483</v>
      </c>
      <c r="M12" s="253">
        <v>8303</v>
      </c>
      <c r="N12" s="255" t="s">
        <v>360</v>
      </c>
      <c r="O12" s="255" t="s">
        <v>3</v>
      </c>
      <c r="P12" s="313">
        <v>31907</v>
      </c>
      <c r="Q12" s="265" t="s">
        <v>457</v>
      </c>
      <c r="R12" s="242"/>
      <c r="S12" s="232" t="e">
        <f>DATEDIF(P12,#REF!,"Y")</f>
        <v>#REF!</v>
      </c>
      <c r="T12" s="327" t="e">
        <f>DATEDIF(F12,#REF!,"MD")</f>
        <v>#REF!</v>
      </c>
      <c r="U12" s="327" t="e">
        <f>DATEDIF(F12,#REF!,"YM")</f>
        <v>#REF!</v>
      </c>
      <c r="V12" s="327" t="e">
        <f>DATEDIF(F12,#REF!,"Y")</f>
        <v>#REF!</v>
      </c>
      <c r="W12" s="255"/>
      <c r="X12" s="255"/>
      <c r="Y12" s="255" t="s">
        <v>216</v>
      </c>
      <c r="Z12" s="255"/>
      <c r="AA12" s="253" t="s">
        <v>348</v>
      </c>
      <c r="AB12" s="332">
        <v>43852</v>
      </c>
      <c r="AC12" s="253" t="s">
        <v>367</v>
      </c>
      <c r="AD12" s="332">
        <v>44185</v>
      </c>
      <c r="AE12" s="253"/>
      <c r="AF12" s="255"/>
      <c r="AG12" s="331"/>
      <c r="AH12" s="255" t="s">
        <v>357</v>
      </c>
      <c r="AI12" s="333">
        <v>43339</v>
      </c>
      <c r="AJ12" s="311">
        <f>AI12+365</f>
        <v>43704</v>
      </c>
    </row>
    <row r="13" spans="1:36" s="44" customFormat="1" ht="15" customHeight="1" thickTop="1" thickBot="1" x14ac:dyDescent="0.4">
      <c r="A13" s="301">
        <v>43678</v>
      </c>
      <c r="B13" s="300">
        <v>133</v>
      </c>
      <c r="C13" s="255" t="s">
        <v>391</v>
      </c>
      <c r="D13" s="259">
        <v>20367842610</v>
      </c>
      <c r="E13" s="200" t="s">
        <v>313</v>
      </c>
      <c r="F13" s="244">
        <v>43206</v>
      </c>
      <c r="G13" s="325" t="s">
        <v>383</v>
      </c>
      <c r="H13" s="326" t="s">
        <v>208</v>
      </c>
      <c r="I13" s="313" t="s">
        <v>25</v>
      </c>
      <c r="J13" s="253" t="s">
        <v>69</v>
      </c>
      <c r="K13" s="255" t="s">
        <v>43</v>
      </c>
      <c r="L13" s="255" t="s">
        <v>484</v>
      </c>
      <c r="M13" s="253">
        <v>8300</v>
      </c>
      <c r="N13" s="255" t="s">
        <v>5</v>
      </c>
      <c r="O13" s="255" t="s">
        <v>5</v>
      </c>
      <c r="P13" s="313">
        <v>34011</v>
      </c>
      <c r="Q13" s="255">
        <v>2996018818</v>
      </c>
      <c r="R13" s="242"/>
      <c r="S13" s="232" t="e">
        <f>DATEDIF(P13,#REF!,"Y")</f>
        <v>#REF!</v>
      </c>
      <c r="T13" s="327" t="e">
        <f>DATEDIF(F13,#REF!,"MD")</f>
        <v>#REF!</v>
      </c>
      <c r="U13" s="327" t="e">
        <f>DATEDIF(F13,#REF!,"YM")</f>
        <v>#REF!</v>
      </c>
      <c r="V13" s="327" t="e">
        <f>DATEDIF(F13,#REF!,"Y")</f>
        <v>#REF!</v>
      </c>
      <c r="W13" s="255" t="s">
        <v>98</v>
      </c>
      <c r="X13" s="255" t="s">
        <v>98</v>
      </c>
      <c r="Y13" s="255" t="s">
        <v>216</v>
      </c>
      <c r="Z13" s="255"/>
      <c r="AA13" s="253"/>
      <c r="AB13" s="332">
        <v>44238</v>
      </c>
      <c r="AC13" s="253" t="s">
        <v>348</v>
      </c>
      <c r="AD13" s="332">
        <v>43973</v>
      </c>
      <c r="AE13" s="253"/>
      <c r="AF13" s="255"/>
      <c r="AG13" s="331"/>
      <c r="AH13" s="255" t="s">
        <v>355</v>
      </c>
      <c r="AI13" s="333">
        <v>43539</v>
      </c>
      <c r="AJ13" s="311">
        <f>AI13+365</f>
        <v>43904</v>
      </c>
    </row>
    <row r="14" spans="1:36" s="44" customFormat="1" ht="15" customHeight="1" thickTop="1" thickBot="1" x14ac:dyDescent="0.4">
      <c r="A14" s="301">
        <v>43678</v>
      </c>
      <c r="B14" s="300">
        <v>169</v>
      </c>
      <c r="C14" s="255" t="s">
        <v>511</v>
      </c>
      <c r="D14" s="320">
        <v>27313140739</v>
      </c>
      <c r="E14" s="200" t="s">
        <v>313</v>
      </c>
      <c r="F14" s="301">
        <v>43626</v>
      </c>
      <c r="G14" s="325"/>
      <c r="H14" s="326" t="s">
        <v>84</v>
      </c>
      <c r="I14" s="313" t="s">
        <v>24</v>
      </c>
      <c r="J14" s="345" t="s">
        <v>509</v>
      </c>
      <c r="K14" s="324" t="s">
        <v>510</v>
      </c>
      <c r="L14" s="324" t="s">
        <v>512</v>
      </c>
      <c r="M14" s="345">
        <v>8300</v>
      </c>
      <c r="N14" s="324" t="s">
        <v>5</v>
      </c>
      <c r="O14" s="324" t="s">
        <v>5</v>
      </c>
      <c r="P14" s="346">
        <v>30989</v>
      </c>
      <c r="Q14" s="242">
        <v>2995050544</v>
      </c>
      <c r="R14" s="324"/>
      <c r="S14" s="232" t="e">
        <f>DATEDIF(P14,#REF!,"Y")</f>
        <v>#REF!</v>
      </c>
      <c r="T14" s="327" t="e">
        <f>DATEDIF(F14,#REF!,"MD")</f>
        <v>#REF!</v>
      </c>
      <c r="U14" s="327" t="e">
        <f>DATEDIF(F14,#REF!,"YM")</f>
        <v>#REF!</v>
      </c>
      <c r="V14" s="327" t="e">
        <f>DATEDIF(F14,#REF!,"Y")</f>
        <v>#REF!</v>
      </c>
      <c r="W14" s="324"/>
      <c r="X14" s="324"/>
      <c r="Y14" s="324" t="s">
        <v>495</v>
      </c>
      <c r="Z14" s="324"/>
      <c r="AA14" s="345"/>
      <c r="AB14" s="347"/>
      <c r="AC14" s="253"/>
      <c r="AD14" s="347"/>
      <c r="AE14" s="324"/>
      <c r="AF14" s="324"/>
      <c r="AG14" s="324"/>
      <c r="AH14" s="324"/>
      <c r="AI14" s="348"/>
      <c r="AJ14" s="311"/>
    </row>
    <row r="15" spans="1:36" s="44" customFormat="1" ht="15" customHeight="1" thickTop="1" thickBot="1" x14ac:dyDescent="0.4">
      <c r="A15" s="301">
        <v>43707</v>
      </c>
      <c r="B15" s="300">
        <v>123</v>
      </c>
      <c r="C15" s="255" t="s">
        <v>427</v>
      </c>
      <c r="D15" s="259">
        <v>27372314767</v>
      </c>
      <c r="E15" s="200" t="s">
        <v>100</v>
      </c>
      <c r="F15" s="244">
        <v>43010</v>
      </c>
      <c r="G15" s="325">
        <v>127901</v>
      </c>
      <c r="H15" s="326" t="s">
        <v>208</v>
      </c>
      <c r="I15" s="313" t="s">
        <v>25</v>
      </c>
      <c r="J15" s="253" t="s">
        <v>95</v>
      </c>
      <c r="K15" s="255" t="s">
        <v>43</v>
      </c>
      <c r="L15" s="255" t="s">
        <v>359</v>
      </c>
      <c r="M15" s="253">
        <v>8303</v>
      </c>
      <c r="N15" s="255" t="s">
        <v>360</v>
      </c>
      <c r="O15" s="255" t="s">
        <v>3</v>
      </c>
      <c r="P15" s="313">
        <v>34086</v>
      </c>
      <c r="Q15" s="255" t="s">
        <v>361</v>
      </c>
      <c r="R15" s="242" t="s">
        <v>200</v>
      </c>
      <c r="S15" s="232" t="e">
        <f>DATEDIF(P15,#REF!,"Y")</f>
        <v>#REF!</v>
      </c>
      <c r="T15" s="327" t="e">
        <f>DATEDIF(F15,#REF!,"MD")</f>
        <v>#REF!</v>
      </c>
      <c r="U15" s="327" t="e">
        <f>DATEDIF(F15,#REF!,"YM")</f>
        <v>#REF!</v>
      </c>
      <c r="V15" s="327" t="e">
        <f>DATEDIF(F15,#REF!,"Y")</f>
        <v>#REF!</v>
      </c>
      <c r="W15" s="255" t="s">
        <v>98</v>
      </c>
      <c r="X15" s="255" t="s">
        <v>98</v>
      </c>
      <c r="Y15" s="255" t="s">
        <v>31</v>
      </c>
      <c r="Z15" s="255"/>
      <c r="AA15" s="253" t="s">
        <v>348</v>
      </c>
      <c r="AB15" s="332">
        <v>43755</v>
      </c>
      <c r="AC15" s="253" t="s">
        <v>348</v>
      </c>
      <c r="AD15" s="329">
        <v>43912</v>
      </c>
      <c r="AE15" s="253"/>
      <c r="AF15" s="255"/>
      <c r="AG15" s="331"/>
      <c r="AH15" s="255" t="s">
        <v>357</v>
      </c>
      <c r="AI15" s="335">
        <v>43397</v>
      </c>
      <c r="AJ15" s="311">
        <f>AI15+365</f>
        <v>43762</v>
      </c>
    </row>
    <row r="16" spans="1:36" s="44" customFormat="1" ht="15" customHeight="1" thickTop="1" thickBot="1" x14ac:dyDescent="0.4">
      <c r="A16" s="301">
        <v>43728</v>
      </c>
      <c r="B16" s="300">
        <v>169</v>
      </c>
      <c r="C16" s="255" t="s">
        <v>513</v>
      </c>
      <c r="D16" s="320">
        <v>20289811193</v>
      </c>
      <c r="E16" s="200" t="s">
        <v>313</v>
      </c>
      <c r="F16" s="301">
        <v>43682</v>
      </c>
      <c r="G16" s="325" t="s">
        <v>383</v>
      </c>
      <c r="H16" s="326" t="s">
        <v>208</v>
      </c>
      <c r="I16" s="313" t="s">
        <v>25</v>
      </c>
      <c r="J16" s="345" t="s">
        <v>26</v>
      </c>
      <c r="K16" s="324" t="s">
        <v>219</v>
      </c>
      <c r="L16" s="324" t="s">
        <v>514</v>
      </c>
      <c r="M16" s="345">
        <v>8300</v>
      </c>
      <c r="N16" s="324" t="s">
        <v>5</v>
      </c>
      <c r="O16" s="324" t="s">
        <v>5</v>
      </c>
      <c r="P16" s="346">
        <v>29760</v>
      </c>
      <c r="Q16" s="242">
        <v>2994103246</v>
      </c>
      <c r="R16" s="324"/>
      <c r="S16" s="232" t="e">
        <f>DATEDIF(P16,#REF!,"Y")</f>
        <v>#REF!</v>
      </c>
      <c r="T16" s="327" t="e">
        <f>DATEDIF(F16,#REF!,"MD")</f>
        <v>#REF!</v>
      </c>
      <c r="U16" s="327" t="e">
        <f>DATEDIF(F16,#REF!,"YM")</f>
        <v>#REF!</v>
      </c>
      <c r="V16" s="327" t="e">
        <f>DATEDIF(F16,#REF!,"Y")</f>
        <v>#REF!</v>
      </c>
      <c r="W16" s="324" t="s">
        <v>98</v>
      </c>
      <c r="X16" s="324" t="s">
        <v>98</v>
      </c>
      <c r="Y16" s="324" t="s">
        <v>216</v>
      </c>
      <c r="Z16" s="324"/>
      <c r="AA16" s="345" t="s">
        <v>348</v>
      </c>
      <c r="AB16" s="347">
        <v>45100</v>
      </c>
      <c r="AC16" s="253"/>
      <c r="AD16" s="347">
        <v>44416</v>
      </c>
      <c r="AE16" s="324"/>
      <c r="AF16" s="324"/>
      <c r="AG16" s="324"/>
      <c r="AH16" s="324" t="s">
        <v>357</v>
      </c>
      <c r="AI16" s="348">
        <v>43668</v>
      </c>
      <c r="AJ16" s="311">
        <f>AI16+365</f>
        <v>44033</v>
      </c>
    </row>
    <row r="17" spans="1:36" s="44" customFormat="1" ht="15" customHeight="1" thickTop="1" thickBot="1" x14ac:dyDescent="0.4">
      <c r="A17" s="301">
        <v>43731</v>
      </c>
      <c r="B17" s="300">
        <v>180</v>
      </c>
      <c r="C17" s="255" t="s">
        <v>547</v>
      </c>
      <c r="D17" s="320">
        <v>27346329985</v>
      </c>
      <c r="E17" s="200" t="s">
        <v>313</v>
      </c>
      <c r="F17" s="301">
        <v>43724</v>
      </c>
      <c r="G17" s="325"/>
      <c r="H17" s="326" t="s">
        <v>84</v>
      </c>
      <c r="I17" s="313" t="s">
        <v>24</v>
      </c>
      <c r="J17" s="345" t="s">
        <v>509</v>
      </c>
      <c r="K17" s="324"/>
      <c r="L17" s="324"/>
      <c r="M17" s="345"/>
      <c r="N17" s="324"/>
      <c r="O17" s="324"/>
      <c r="P17" s="346"/>
      <c r="Q17" s="242"/>
      <c r="R17" s="324"/>
      <c r="S17" s="232"/>
      <c r="T17" s="327"/>
      <c r="U17" s="327"/>
      <c r="V17" s="327"/>
      <c r="W17" s="324"/>
      <c r="X17" s="324"/>
      <c r="Y17" s="324"/>
      <c r="Z17" s="324"/>
      <c r="AA17" s="345"/>
      <c r="AB17" s="347"/>
      <c r="AC17" s="253"/>
      <c r="AD17" s="347"/>
      <c r="AE17" s="324"/>
      <c r="AF17" s="324"/>
      <c r="AG17" s="324"/>
      <c r="AH17" s="324"/>
      <c r="AI17" s="348"/>
      <c r="AJ17" s="311"/>
    </row>
    <row r="18" spans="1:36" ht="15.75" customHeight="1" thickTop="1" thickBot="1" x14ac:dyDescent="0.4">
      <c r="A18" s="349">
        <v>43748</v>
      </c>
      <c r="B18" s="258">
        <v>176</v>
      </c>
      <c r="C18" s="255" t="s">
        <v>530</v>
      </c>
      <c r="D18" s="320" t="s">
        <v>531</v>
      </c>
      <c r="E18" s="200" t="s">
        <v>100</v>
      </c>
      <c r="F18" s="301">
        <v>43682</v>
      </c>
      <c r="G18" s="246" t="s">
        <v>389</v>
      </c>
      <c r="H18" s="260" t="s">
        <v>207</v>
      </c>
      <c r="I18" s="248" t="s">
        <v>12</v>
      </c>
      <c r="K18" s="305" t="s">
        <v>532</v>
      </c>
      <c r="L18" s="305" t="s">
        <v>533</v>
      </c>
      <c r="M18" s="247">
        <v>8324</v>
      </c>
      <c r="N18" s="305" t="s">
        <v>2</v>
      </c>
      <c r="O18" s="305" t="s">
        <v>3</v>
      </c>
      <c r="P18" s="322">
        <v>24983</v>
      </c>
      <c r="Q18" s="243">
        <v>2995314789</v>
      </c>
      <c r="Y18" s="305" t="s">
        <v>31</v>
      </c>
      <c r="Z18" s="305"/>
      <c r="AA18" s="247" t="s">
        <v>348</v>
      </c>
      <c r="AB18" s="264">
        <v>45069</v>
      </c>
      <c r="AC18" s="253" t="s">
        <v>348</v>
      </c>
      <c r="AD18" s="264">
        <v>44416</v>
      </c>
      <c r="AE18" s="305"/>
      <c r="AF18" s="305"/>
      <c r="AG18" s="305"/>
      <c r="AH18" s="324" t="s">
        <v>357</v>
      </c>
      <c r="AI18" s="262">
        <v>43682</v>
      </c>
      <c r="AJ18" s="311">
        <f>AI18+365</f>
        <v>44047</v>
      </c>
    </row>
    <row r="19" spans="1:36" ht="15.75" customHeight="1" thickTop="1" thickBot="1" x14ac:dyDescent="0.4">
      <c r="A19" s="349">
        <v>43815</v>
      </c>
      <c r="B19" s="258">
        <v>178</v>
      </c>
      <c r="C19" s="255" t="s">
        <v>538</v>
      </c>
      <c r="D19" s="320" t="s">
        <v>539</v>
      </c>
      <c r="E19" s="200" t="s">
        <v>313</v>
      </c>
      <c r="F19" s="301">
        <v>43711</v>
      </c>
      <c r="G19" s="246" t="s">
        <v>383</v>
      </c>
      <c r="H19" s="260" t="s">
        <v>208</v>
      </c>
      <c r="I19" s="248" t="s">
        <v>25</v>
      </c>
      <c r="J19" s="247" t="s">
        <v>26</v>
      </c>
      <c r="K19" s="305" t="s">
        <v>219</v>
      </c>
      <c r="L19" s="305" t="s">
        <v>540</v>
      </c>
      <c r="M19" s="247">
        <v>8305</v>
      </c>
      <c r="N19" s="305" t="s">
        <v>541</v>
      </c>
      <c r="O19" s="305" t="s">
        <v>5</v>
      </c>
      <c r="P19" s="322">
        <v>29686</v>
      </c>
      <c r="Q19" s="243">
        <v>2994090228</v>
      </c>
      <c r="R19" s="305"/>
      <c r="S19" s="233" t="e">
        <f>DATEDIF(P19,$G$1,"Y")</f>
        <v>#NUM!</v>
      </c>
      <c r="T19" s="251" t="e">
        <f>DATEDIF(E19,$G$1,"MD")</f>
        <v>#VALUE!</v>
      </c>
      <c r="U19" s="251" t="e">
        <f>DATEDIF(E19,$G$1,"YM")</f>
        <v>#VALUE!</v>
      </c>
      <c r="V19" s="251" t="e">
        <f>DATEDIF(E19,$G$1,"Y")</f>
        <v>#VALUE!</v>
      </c>
      <c r="W19" s="305"/>
      <c r="X19" s="305" t="s">
        <v>98</v>
      </c>
      <c r="Y19" s="305" t="s">
        <v>216</v>
      </c>
      <c r="Z19" s="305"/>
      <c r="AA19" s="345" t="s">
        <v>348</v>
      </c>
      <c r="AB19" s="264">
        <v>43835</v>
      </c>
      <c r="AC19" s="253" t="s">
        <v>348</v>
      </c>
      <c r="AD19" s="264">
        <v>44443</v>
      </c>
      <c r="AE19" s="305"/>
      <c r="AF19" s="305"/>
      <c r="AG19" s="305"/>
      <c r="AH19" s="324" t="s">
        <v>357</v>
      </c>
      <c r="AI19" s="262">
        <v>43698</v>
      </c>
      <c r="AJ19" s="311">
        <f>AI19+365</f>
        <v>44063</v>
      </c>
    </row>
    <row r="20" spans="1:36" ht="15.75" customHeight="1" thickTop="1" thickBot="1" x14ac:dyDescent="0.4">
      <c r="A20" s="349">
        <v>43815</v>
      </c>
      <c r="B20" s="258">
        <v>182</v>
      </c>
      <c r="C20" s="255" t="s">
        <v>548</v>
      </c>
      <c r="D20" s="259" t="s">
        <v>549</v>
      </c>
      <c r="E20" s="200" t="s">
        <v>313</v>
      </c>
      <c r="F20" s="301">
        <v>43727</v>
      </c>
      <c r="G20" s="246" t="s">
        <v>383</v>
      </c>
      <c r="H20" s="260" t="s">
        <v>208</v>
      </c>
      <c r="I20" s="248" t="s">
        <v>25</v>
      </c>
      <c r="J20" s="249" t="s">
        <v>26</v>
      </c>
      <c r="K20" s="305" t="s">
        <v>219</v>
      </c>
      <c r="L20" s="250"/>
      <c r="M20" s="249"/>
      <c r="N20" s="250"/>
      <c r="O20" s="250"/>
      <c r="P20" s="248">
        <v>34630</v>
      </c>
      <c r="Q20" s="250">
        <v>2996133923</v>
      </c>
      <c r="R20" s="243"/>
      <c r="S20" s="243" t="e">
        <f>DATEDIF(P20,#REF!,"Y")</f>
        <v>#REF!</v>
      </c>
      <c r="T20" s="251" t="e">
        <f>DATEDIF(E20,$G$1,"MD")</f>
        <v>#VALUE!</v>
      </c>
      <c r="U20" s="251" t="e">
        <f>DATEDIF(E20,$G$1,"YM")</f>
        <v>#VALUE!</v>
      </c>
      <c r="V20" s="251" t="e">
        <f>DATEDIF(E20,$G$1,"Y")</f>
        <v>#VALUE!</v>
      </c>
      <c r="W20" s="250"/>
      <c r="X20" s="250" t="s">
        <v>555</v>
      </c>
      <c r="Y20" s="250" t="s">
        <v>216</v>
      </c>
      <c r="Z20" s="250"/>
      <c r="AA20" s="253" t="s">
        <v>348</v>
      </c>
      <c r="AB20" s="264">
        <v>45222</v>
      </c>
      <c r="AC20" s="253" t="s">
        <v>348</v>
      </c>
      <c r="AD20" s="264">
        <v>44528</v>
      </c>
      <c r="AE20" s="249"/>
      <c r="AF20" s="250"/>
      <c r="AG20" s="254"/>
      <c r="AH20" s="324" t="s">
        <v>357</v>
      </c>
      <c r="AI20" s="256">
        <v>43704</v>
      </c>
      <c r="AJ20" s="313">
        <f>AI20+365</f>
        <v>44069</v>
      </c>
    </row>
    <row r="21" spans="1:36" ht="15.75" customHeight="1" thickTop="1" x14ac:dyDescent="0.35"/>
  </sheetData>
  <mergeCells count="23">
    <mergeCell ref="F2:F3"/>
    <mergeCell ref="A2:A3"/>
    <mergeCell ref="B2:B3"/>
    <mergeCell ref="C2:C3"/>
    <mergeCell ref="D2:D3"/>
    <mergeCell ref="E2:E3"/>
    <mergeCell ref="R2:R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S2:S3"/>
    <mergeCell ref="T2:V2"/>
    <mergeCell ref="W2:W3"/>
    <mergeCell ref="X2:X3"/>
    <mergeCell ref="Y2:Y3"/>
  </mergeCells>
  <hyperlinks>
    <hyperlink ref="AB4" r:id="rId1" display="01) RRHH\LIZAMA CRISTIAN GASTON\LICENCIA vto 31-03-2020 .pdf" xr:uid="{00000000-0004-0000-0700-000000000000}"/>
    <hyperlink ref="AD4" r:id="rId2" display="01) RRHH\LIZAMA CRISTIAN GASTON\manejo defensivo 12-12-2020.pdf" xr:uid="{00000000-0004-0000-0700-000001000000}"/>
    <hyperlink ref="AB5" r:id="rId3" display="01) RRHH\FERRADA GASTON\LICENCIA DE CONDUCIR VTO 11-02-2021.pdf" xr:uid="{00000000-0004-0000-0700-000002000000}"/>
    <hyperlink ref="AI5" r:id="rId4" display="01) RRHH\FERRADA GASTON\pre ocupacional.pdf VTO 07-09-2019" xr:uid="{00000000-0004-0000-0700-000003000000}"/>
    <hyperlink ref="AB6" r:id="rId5" display="01) RRHH\RIQUELME DAVID\LIC DE CONDUCIR VTO 21-04-2021.pdf" xr:uid="{00000000-0004-0000-0700-000004000000}"/>
    <hyperlink ref="AI6" r:id="rId6" display="01) RRHH\RIQUELME DAVID\EX PREOCUPACIONAL VTO 23-08-2019.pdf" xr:uid="{00000000-0004-0000-0700-000005000000}"/>
    <hyperlink ref="AD6" r:id="rId7" display="01) RRHH\RIQUELME DAVID\MD RIQUELME.pdf" xr:uid="{00000000-0004-0000-0700-000006000000}"/>
    <hyperlink ref="AB7" r:id="rId8" display="01) RRHH\BALASTEGUI, Pablo\Carnet Balastegui vto 22-09-2019.pdf" xr:uid="{00000000-0004-0000-0700-000007000000}"/>
    <hyperlink ref="AD7" r:id="rId9" display="01) RRHH\BALASTEGUI, Pablo\MD BALASTEGUI VTO 28-06-2019.pdf" xr:uid="{00000000-0004-0000-0700-000008000000}"/>
    <hyperlink ref="AI7" r:id="rId10" display="01) RRHH\BALASTEGUI, Pablo\PERIODICO vto 21-09-2019.pdf" xr:uid="{00000000-0004-0000-0700-000009000000}"/>
    <hyperlink ref="AI9" r:id="rId11" display="01) RRHH\MARTINEZ, SEBASTIAN\EX PREOCUPACIONAL VTO -24-08-2019.pdf" xr:uid="{00000000-0004-0000-0700-00000A000000}"/>
    <hyperlink ref="AB9" r:id="rId12" display="01) RRHH\MARTINEZ, SEBASTIAN\LIC DE CONDUCIR 04-05-2020.pdf" xr:uid="{00000000-0004-0000-0700-00000B000000}"/>
    <hyperlink ref="AF9" r:id="rId13" display="01) RRHH\MARTINEZ, SEBASTIAN\CARGAS generales VTO 06-06-2019.pdf" xr:uid="{00000000-0004-0000-0700-00000C000000}"/>
    <hyperlink ref="AD9" r:id="rId14" display="01) RRHH\MARTINEZ, SEBASTIAN\MD vto 09-03-2021 NASER.pdf" xr:uid="{00000000-0004-0000-0700-00000D000000}"/>
    <hyperlink ref="AI8" r:id="rId15" display="01) RRHH\GIACOMELLI MARIA DE LOS ANGELES\EX PREOCUPACIONAL VTO 03-08-2019.pdf" xr:uid="{00000000-0004-0000-0700-00000E000000}"/>
    <hyperlink ref="AI11" r:id="rId16" display="01) RRHH\ASTROZA, Javier\EX PERIODICO VTO 03-08-2019.pdf" xr:uid="{00000000-0004-0000-0700-00000F000000}"/>
    <hyperlink ref="AD11" r:id="rId17" display="01) RRHH\ASTROZA, Javier\MD Astroza VTO 13-07-2019.pdf" xr:uid="{00000000-0004-0000-0700-000010000000}"/>
    <hyperlink ref="AF11" r:id="rId18" display="01) RRHH\ASTROZA, Javier\CNRT ASTROZA 29-08-2017.pdf" xr:uid="{00000000-0004-0000-0700-000011000000}"/>
    <hyperlink ref="AB11" r:id="rId19" display="01) RRHH\ASTROZA, Javier\CARNET VTO 20-12-2020.pdf" xr:uid="{00000000-0004-0000-0700-000012000000}"/>
    <hyperlink ref="AI12" r:id="rId20" display="01) RRHH\HEREDIA MARCOS\EX PREOCUPACIONAL VTO 27-08-2018.pdf" xr:uid="{00000000-0004-0000-0700-000013000000}"/>
    <hyperlink ref="AB12" r:id="rId21" display="01) RRHH\HEREDIA MARCOS\LICENCIA DE CONDUCIR VTO 22-01-2020.pdf" xr:uid="{00000000-0004-0000-0700-000014000000}"/>
    <hyperlink ref="AD12" r:id="rId22" display="01) RRHH\HEREDIA MARCOS\manejo defensivo 19-12-2020.pdf" xr:uid="{00000000-0004-0000-0700-000015000000}"/>
    <hyperlink ref="AB13" r:id="rId23" display="01) RRHH\PERALTA OCTAVIO DAVID\CARNET 11022021.pdf" xr:uid="{00000000-0004-0000-0700-000016000000}"/>
    <hyperlink ref="AD13" r:id="rId24" display="01) RRHH\PERALTA OCTAVIO DAVID\MD VTO 22-05-2020...pdf" xr:uid="{00000000-0004-0000-0700-000017000000}"/>
    <hyperlink ref="AI13" r:id="rId25" display="01) RRHH\PERALTA OCTAVIO DAVID\periodico Vto. 15-03-2020.pdf" xr:uid="{00000000-0004-0000-0700-000018000000}"/>
    <hyperlink ref="AB15" r:id="rId26" display="01) RRHH\LORENZINI, Franco\Carnet A-E1 LORENIZNI.pdf" xr:uid="{00000000-0004-0000-0700-000019000000}"/>
    <hyperlink ref="AD15" r:id="rId27" display="01) RRHH\LORENZINI, Franco\MD Lorenzini VTO 22-03-2020.pdf" xr:uid="{00000000-0004-0000-0700-00001A000000}"/>
    <hyperlink ref="AI15" r:id="rId28" display="01) RRHH\LORENZINI, Franco\periodico.pdf" xr:uid="{00000000-0004-0000-0700-00001B000000}"/>
    <hyperlink ref="AB16" r:id="rId29" display="01) RRHH\FREIRE JOSE LUCIANO\Lic. de conducir Freire VTO 23-06-2023.pdf" xr:uid="{00000000-0004-0000-0700-00001C000000}"/>
    <hyperlink ref="AD16" r:id="rId30" display="01) RRHH\FREIRE JOSE LUCIANO\MD vto 08-08-2021.pdf" xr:uid="{00000000-0004-0000-0700-00001D000000}"/>
    <hyperlink ref="AB18" r:id="rId31" display="01) RRHH\IBAÑEZ PABLO\Lic. de conducir Ibañez 23-05-2023.pdf" xr:uid="{00000000-0004-0000-0700-00001E000000}"/>
    <hyperlink ref="AD18" r:id="rId32" display="01) RRHH\IBAÑEZ PABLO\MD vto 08-08-2021.pdf" xr:uid="{00000000-0004-0000-0700-00001F000000}"/>
    <hyperlink ref="AB19" r:id="rId33" display="01) RRHH\SOSA DIEGO ARMANDO\Licencia de Conducir VTO. 05-01-2020.pdf" xr:uid="{00000000-0004-0000-0700-000020000000}"/>
    <hyperlink ref="AD19" r:id="rId34" display="01) RRHH\SOSA DIEGO ARMANDO\MD vto 04-09-2021.pdf" xr:uid="{00000000-0004-0000-0700-000021000000}"/>
    <hyperlink ref="AI20" r:id="rId35" display="01) RRHH\MENDEZ JUAN IGNACIO\Ex. Preocupacional 27-08-2019.pdf" xr:uid="{00000000-0004-0000-0700-000022000000}"/>
    <hyperlink ref="AB20" r:id="rId36" display="01) RRHH\MENDEZ JUAN IGNACIO\Lic. vto 23-10-2023.pdf" xr:uid="{00000000-0004-0000-0700-000023000000}"/>
    <hyperlink ref="AD20" r:id="rId37" display="01) RRHH\MENDEZ JUAN IGNACIO\MD VTO 28-11-2021.pdf" xr:uid="{00000000-0004-0000-0700-000024000000}"/>
  </hyperlinks>
  <pageMargins left="0.7" right="0.7" top="0.75" bottom="0.75" header="0.3" footer="0.3"/>
  <pageSetup paperSize="9" orientation="portrait" r:id="rId38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 tint="-0.249977111117893"/>
  </sheetPr>
  <dimension ref="A1:AL31"/>
  <sheetViews>
    <sheetView topLeftCell="B1" zoomScaleNormal="100" workbookViewId="0">
      <pane ySplit="3" topLeftCell="A4" activePane="bottomLeft" state="frozen"/>
      <selection pane="bottomLeft" activeCell="L13" sqref="L13:O13"/>
    </sheetView>
  </sheetViews>
  <sheetFormatPr baseColWidth="10" defaultColWidth="11.69140625" defaultRowHeight="15.75" customHeight="1" x14ac:dyDescent="0.35"/>
  <cols>
    <col min="1" max="1" width="8.4609375" style="2" bestFit="1" customWidth="1"/>
    <col min="2" max="2" width="4" style="2" bestFit="1" customWidth="1"/>
    <col min="3" max="3" width="23.765625" style="2" bestFit="1" customWidth="1"/>
    <col min="4" max="4" width="10.23046875" style="2" bestFit="1" customWidth="1"/>
    <col min="5" max="5" width="15.23046875" style="2" customWidth="1"/>
    <col min="6" max="6" width="8.4609375" style="2" bestFit="1" customWidth="1"/>
    <col min="7" max="7" width="11.765625" style="3" bestFit="1" customWidth="1"/>
    <col min="8" max="8" width="9" style="4" bestFit="1" customWidth="1"/>
    <col min="9" max="9" width="17.3046875" style="2" customWidth="1"/>
    <col min="10" max="10" width="17.3046875" style="4" customWidth="1"/>
    <col min="11" max="11" width="22.765625" style="3" customWidth="1"/>
    <col min="12" max="12" width="10.4609375" style="4" bestFit="1" customWidth="1"/>
    <col min="13" max="13" width="8.3046875" style="2" bestFit="1" customWidth="1"/>
    <col min="14" max="14" width="9" style="2" bestFit="1" customWidth="1"/>
    <col min="15" max="15" width="8.23046875" style="2" bestFit="1" customWidth="1"/>
    <col min="16" max="16" width="8.07421875" style="2" bestFit="1" customWidth="1"/>
    <col min="17" max="17" width="4.4609375" style="2" bestFit="1" customWidth="1"/>
    <col min="18" max="18" width="11.69140625" style="2"/>
    <col min="19" max="19" width="11.765625" style="2" bestFit="1" customWidth="1"/>
    <col min="20" max="20" width="6" style="2" bestFit="1" customWidth="1"/>
    <col min="21" max="22" width="3.84375" style="2" customWidth="1"/>
    <col min="23" max="16384" width="11.69140625" style="2"/>
  </cols>
  <sheetData>
    <row r="1" spans="1:38" ht="15.75" customHeight="1" thickBot="1" x14ac:dyDescent="0.4"/>
    <row r="2" spans="1:38" ht="15.75" customHeight="1" thickBot="1" x14ac:dyDescent="0.4">
      <c r="A2" s="502" t="s">
        <v>93</v>
      </c>
      <c r="B2" s="502" t="s">
        <v>10</v>
      </c>
      <c r="C2" s="502" t="s">
        <v>6</v>
      </c>
      <c r="D2" s="502" t="s">
        <v>0</v>
      </c>
      <c r="E2" s="502" t="s">
        <v>103</v>
      </c>
      <c r="F2" s="502" t="s">
        <v>112</v>
      </c>
      <c r="G2" s="502" t="s">
        <v>192</v>
      </c>
      <c r="H2" s="502" t="s">
        <v>185</v>
      </c>
      <c r="I2" s="502" t="s">
        <v>176</v>
      </c>
      <c r="J2" s="502" t="s">
        <v>186</v>
      </c>
      <c r="K2" s="502" t="s">
        <v>8</v>
      </c>
      <c r="L2" s="502" t="s">
        <v>1</v>
      </c>
      <c r="M2" s="502" t="s">
        <v>177</v>
      </c>
      <c r="N2" s="502" t="s">
        <v>178</v>
      </c>
      <c r="O2" s="502" t="s">
        <v>191</v>
      </c>
      <c r="P2" s="502" t="s">
        <v>190</v>
      </c>
      <c r="Q2" s="502" t="s">
        <v>179</v>
      </c>
      <c r="R2" s="502" t="s">
        <v>180</v>
      </c>
      <c r="S2" s="502" t="s">
        <v>181</v>
      </c>
      <c r="T2" s="502" t="s">
        <v>182</v>
      </c>
      <c r="U2" s="502"/>
      <c r="V2" s="502"/>
      <c r="W2" s="502" t="s">
        <v>22</v>
      </c>
      <c r="X2" s="502" t="s">
        <v>23</v>
      </c>
      <c r="Y2" s="502" t="s">
        <v>9</v>
      </c>
    </row>
    <row r="3" spans="1:38" ht="15.75" customHeight="1" thickBot="1" x14ac:dyDescent="0.4">
      <c r="A3" s="502"/>
      <c r="B3" s="502"/>
      <c r="C3" s="502"/>
      <c r="D3" s="502"/>
      <c r="E3" s="502"/>
      <c r="F3" s="502"/>
      <c r="G3" s="502"/>
      <c r="H3" s="502"/>
      <c r="I3" s="502"/>
      <c r="J3" s="502"/>
      <c r="K3" s="502"/>
      <c r="L3" s="502"/>
      <c r="M3" s="502"/>
      <c r="N3" s="502"/>
      <c r="O3" s="502"/>
      <c r="P3" s="502"/>
      <c r="Q3" s="502"/>
      <c r="R3" s="502"/>
      <c r="S3" s="502"/>
      <c r="T3" s="50" t="s">
        <v>187</v>
      </c>
      <c r="U3" s="50" t="s">
        <v>188</v>
      </c>
      <c r="V3" s="50" t="s">
        <v>189</v>
      </c>
      <c r="W3" s="502"/>
      <c r="X3" s="502"/>
      <c r="Y3" s="502"/>
    </row>
    <row r="4" spans="1:38" s="12" customFormat="1" ht="15" customHeight="1" thickTop="1" thickBot="1" x14ac:dyDescent="0.4">
      <c r="A4" s="201">
        <v>43101</v>
      </c>
      <c r="B4" s="203">
        <v>37</v>
      </c>
      <c r="C4" s="175" t="s">
        <v>87</v>
      </c>
      <c r="D4" s="193">
        <v>27349651810</v>
      </c>
      <c r="E4" s="200" t="s">
        <v>100</v>
      </c>
      <c r="F4" s="187">
        <v>41426</v>
      </c>
      <c r="G4" s="206">
        <v>127901</v>
      </c>
      <c r="H4" s="207" t="s">
        <v>208</v>
      </c>
      <c r="I4" s="177" t="s">
        <v>25</v>
      </c>
      <c r="J4" s="197" t="s">
        <v>227</v>
      </c>
      <c r="K4" s="178" t="s">
        <v>70</v>
      </c>
      <c r="L4" s="178" t="s">
        <v>331</v>
      </c>
      <c r="M4" s="197">
        <v>8300</v>
      </c>
      <c r="N4" s="178" t="s">
        <v>5</v>
      </c>
      <c r="O4" s="178" t="s">
        <v>5</v>
      </c>
      <c r="P4" s="177">
        <v>32937</v>
      </c>
      <c r="Q4" s="178" t="s">
        <v>221</v>
      </c>
      <c r="R4" s="174" t="s">
        <v>200</v>
      </c>
      <c r="S4" s="174" t="e">
        <f>DATEDIF(P4,#REF!,"Y")</f>
        <v>#REF!</v>
      </c>
      <c r="T4" s="176" t="e">
        <f>DATEDIF(F4,#REF!,"MD")</f>
        <v>#REF!</v>
      </c>
      <c r="U4" s="176" t="e">
        <f>DATEDIF(F4,#REF!,"YM")</f>
        <v>#REF!</v>
      </c>
      <c r="V4" s="176" t="e">
        <f>DATEDIF(F4,#REF!,"Y")</f>
        <v>#REF!</v>
      </c>
      <c r="W4" s="178" t="s">
        <v>98</v>
      </c>
      <c r="X4" s="178" t="s">
        <v>98</v>
      </c>
      <c r="Y4" s="178" t="s">
        <v>216</v>
      </c>
      <c r="Z4" s="178" t="s">
        <v>314</v>
      </c>
      <c r="AA4" s="178"/>
      <c r="AB4" s="179" t="s">
        <v>348</v>
      </c>
      <c r="AC4" s="180">
        <v>44260</v>
      </c>
      <c r="AD4" s="180"/>
      <c r="AE4" s="181" t="s">
        <v>348</v>
      </c>
      <c r="AF4" s="182">
        <v>43137</v>
      </c>
      <c r="AG4" s="183"/>
      <c r="AH4" s="188"/>
      <c r="AI4" s="184"/>
      <c r="AJ4" s="185" t="s">
        <v>355</v>
      </c>
      <c r="AK4" s="194">
        <v>43007</v>
      </c>
      <c r="AL4" s="186">
        <f>AK4+365</f>
        <v>43372</v>
      </c>
    </row>
    <row r="5" spans="1:38" s="12" customFormat="1" ht="15" customHeight="1" thickTop="1" thickBot="1" x14ac:dyDescent="0.4">
      <c r="A5" s="202">
        <v>43174</v>
      </c>
      <c r="B5" s="203">
        <v>74</v>
      </c>
      <c r="C5" s="175" t="s">
        <v>62</v>
      </c>
      <c r="D5" s="193">
        <v>20364348097</v>
      </c>
      <c r="E5" s="200" t="s">
        <v>100</v>
      </c>
      <c r="F5" s="187">
        <v>41680</v>
      </c>
      <c r="G5" s="206">
        <v>127901</v>
      </c>
      <c r="H5" s="207" t="s">
        <v>208</v>
      </c>
      <c r="I5" s="177" t="s">
        <v>25</v>
      </c>
      <c r="J5" s="197" t="s">
        <v>227</v>
      </c>
      <c r="K5" s="178" t="s">
        <v>70</v>
      </c>
      <c r="L5" s="178" t="s">
        <v>328</v>
      </c>
      <c r="M5" s="197">
        <v>8300</v>
      </c>
      <c r="N5" s="178" t="s">
        <v>5</v>
      </c>
      <c r="O5" s="178" t="s">
        <v>5</v>
      </c>
      <c r="P5" s="177">
        <v>33598</v>
      </c>
      <c r="Q5" s="178" t="s">
        <v>150</v>
      </c>
      <c r="R5" s="174" t="s">
        <v>200</v>
      </c>
      <c r="S5" s="174" t="e">
        <f>DATEDIF(P5,#REF!,"Y")</f>
        <v>#REF!</v>
      </c>
      <c r="T5" s="176" t="e">
        <f>DATEDIF(F5,#REF!,"MD")</f>
        <v>#REF!</v>
      </c>
      <c r="U5" s="176" t="e">
        <f>DATEDIF(F5,#REF!,"YM")</f>
        <v>#REF!</v>
      </c>
      <c r="V5" s="176" t="e">
        <f>DATEDIF(F5,#REF!,"Y")</f>
        <v>#REF!</v>
      </c>
      <c r="W5" s="178" t="s">
        <v>98</v>
      </c>
      <c r="X5" s="178" t="s">
        <v>98</v>
      </c>
      <c r="Y5" s="178" t="s">
        <v>31</v>
      </c>
      <c r="Z5" s="178"/>
      <c r="AA5" s="179" t="s">
        <v>348</v>
      </c>
      <c r="AB5" s="180">
        <v>44191</v>
      </c>
      <c r="AC5" s="180"/>
      <c r="AD5" s="181" t="s">
        <v>348</v>
      </c>
      <c r="AE5" s="196">
        <v>43156</v>
      </c>
      <c r="AF5" s="183"/>
      <c r="AG5" s="188"/>
      <c r="AH5" s="184"/>
      <c r="AI5" s="185" t="s">
        <v>355</v>
      </c>
      <c r="AJ5" s="194">
        <v>43007</v>
      </c>
      <c r="AK5" s="186">
        <f>AJ5+365</f>
        <v>43372</v>
      </c>
    </row>
    <row r="6" spans="1:38" s="44" customFormat="1" ht="15" customHeight="1" thickTop="1" thickBot="1" x14ac:dyDescent="0.4">
      <c r="A6" s="202">
        <v>43182</v>
      </c>
      <c r="B6" s="203">
        <v>105</v>
      </c>
      <c r="C6" s="175" t="s">
        <v>136</v>
      </c>
      <c r="D6" s="173" t="s">
        <v>388</v>
      </c>
      <c r="E6" s="200" t="s">
        <v>100</v>
      </c>
      <c r="F6" s="204">
        <v>42170</v>
      </c>
      <c r="G6" s="206">
        <v>127901</v>
      </c>
      <c r="H6" s="207" t="s">
        <v>208</v>
      </c>
      <c r="I6" s="177" t="s">
        <v>25</v>
      </c>
      <c r="J6" s="197" t="s">
        <v>81</v>
      </c>
      <c r="K6" s="178" t="s">
        <v>226</v>
      </c>
      <c r="L6" s="178" t="s">
        <v>329</v>
      </c>
      <c r="M6" s="197">
        <v>8300</v>
      </c>
      <c r="N6" s="178" t="s">
        <v>5</v>
      </c>
      <c r="O6" s="178" t="s">
        <v>5</v>
      </c>
      <c r="P6" s="177">
        <v>30865</v>
      </c>
      <c r="Q6" s="178" t="s">
        <v>160</v>
      </c>
      <c r="R6" s="174" t="s">
        <v>200</v>
      </c>
      <c r="S6" s="174" t="e">
        <f>DATEDIF(P6,#REF!,"Y")</f>
        <v>#REF!</v>
      </c>
      <c r="T6" s="176" t="e">
        <f>DATEDIF(F6,#REF!,"MD")</f>
        <v>#REF!</v>
      </c>
      <c r="U6" s="176" t="e">
        <f>DATEDIF(F6,#REF!,"YM")</f>
        <v>#REF!</v>
      </c>
      <c r="V6" s="176" t="e">
        <f>DATEDIF(F6,#REF!,"Y")</f>
        <v>#REF!</v>
      </c>
      <c r="W6" s="178" t="s">
        <v>98</v>
      </c>
      <c r="X6" s="178" t="s">
        <v>98</v>
      </c>
      <c r="Y6" s="178" t="s">
        <v>31</v>
      </c>
      <c r="Z6" s="175"/>
      <c r="AA6" s="216" t="s">
        <v>348</v>
      </c>
      <c r="AB6" s="217">
        <v>44727</v>
      </c>
      <c r="AC6" s="181" t="s">
        <v>348</v>
      </c>
      <c r="AD6" s="218">
        <v>43650</v>
      </c>
      <c r="AE6" s="183"/>
      <c r="AF6" s="211"/>
      <c r="AG6" s="219"/>
      <c r="AH6" s="185" t="s">
        <v>355</v>
      </c>
      <c r="AI6" s="220">
        <v>43174</v>
      </c>
      <c r="AJ6" s="186">
        <f>AI6+365</f>
        <v>43539</v>
      </c>
    </row>
    <row r="7" spans="1:38" s="44" customFormat="1" ht="15" customHeight="1" thickTop="1" thickBot="1" x14ac:dyDescent="0.4">
      <c r="A7" s="201">
        <v>43190</v>
      </c>
      <c r="B7" s="203">
        <v>101</v>
      </c>
      <c r="C7" s="175" t="s">
        <v>128</v>
      </c>
      <c r="D7" s="173">
        <v>20322467614</v>
      </c>
      <c r="E7" s="200" t="s">
        <v>100</v>
      </c>
      <c r="F7" s="204">
        <v>42030</v>
      </c>
      <c r="G7" s="206">
        <v>108803</v>
      </c>
      <c r="H7" s="207" t="s">
        <v>207</v>
      </c>
      <c r="I7" s="177" t="s">
        <v>12</v>
      </c>
      <c r="J7" s="197" t="s">
        <v>75</v>
      </c>
      <c r="K7" s="178" t="s">
        <v>232</v>
      </c>
      <c r="L7" s="197">
        <v>8300</v>
      </c>
      <c r="M7" s="178" t="s">
        <v>5</v>
      </c>
      <c r="N7" s="178" t="s">
        <v>5</v>
      </c>
      <c r="O7" s="177">
        <v>31566</v>
      </c>
      <c r="P7" s="178" t="s">
        <v>158</v>
      </c>
      <c r="Q7" s="174" t="s">
        <v>224</v>
      </c>
      <c r="R7" s="174" t="e">
        <f>DATEDIF(O7,#REF!,"Y")</f>
        <v>#REF!</v>
      </c>
      <c r="S7" s="176" t="e">
        <f>DATEDIF(F7,#REF!,"MD")</f>
        <v>#REF!</v>
      </c>
      <c r="T7" s="176" t="e">
        <f>DATEDIF(F7,#REF!,"YM")</f>
        <v>#REF!</v>
      </c>
      <c r="U7" s="176" t="e">
        <f>DATEDIF(F7,#REF!,"Y")</f>
        <v>#REF!</v>
      </c>
      <c r="V7" s="178"/>
      <c r="W7" s="178"/>
      <c r="X7" s="178" t="s">
        <v>31</v>
      </c>
      <c r="Y7" s="178"/>
      <c r="Z7" s="175"/>
      <c r="AA7" s="175"/>
      <c r="AB7" s="175"/>
      <c r="AC7" s="175"/>
      <c r="AD7" s="215"/>
      <c r="AE7" s="175"/>
      <c r="AF7" s="221"/>
      <c r="AG7" s="175"/>
      <c r="AH7" s="175"/>
      <c r="AI7" s="214"/>
    </row>
    <row r="8" spans="1:38" s="12" customFormat="1" ht="15" customHeight="1" thickTop="1" thickBot="1" x14ac:dyDescent="0.4">
      <c r="A8" s="202">
        <v>43257</v>
      </c>
      <c r="B8" s="228">
        <v>135</v>
      </c>
      <c r="C8" s="189" t="s">
        <v>402</v>
      </c>
      <c r="D8" s="193">
        <v>20270989846</v>
      </c>
      <c r="E8" s="200" t="s">
        <v>100</v>
      </c>
      <c r="F8" s="205">
        <v>43222</v>
      </c>
      <c r="G8" s="208" t="s">
        <v>374</v>
      </c>
      <c r="H8" s="209" t="s">
        <v>395</v>
      </c>
      <c r="I8" s="191" t="s">
        <v>396</v>
      </c>
      <c r="J8" s="198" t="s">
        <v>403</v>
      </c>
      <c r="K8" s="178" t="s">
        <v>398</v>
      </c>
      <c r="L8" s="192" t="s">
        <v>404</v>
      </c>
      <c r="M8" s="198">
        <v>8324</v>
      </c>
      <c r="N8" s="192" t="s">
        <v>400</v>
      </c>
      <c r="O8" s="192" t="s">
        <v>3</v>
      </c>
      <c r="P8" s="191">
        <v>29076</v>
      </c>
      <c r="Q8" s="192" t="s">
        <v>405</v>
      </c>
      <c r="R8" s="190" t="s">
        <v>406</v>
      </c>
      <c r="S8" s="190" t="e">
        <f>DATEDIF(P8,#REF!,"Y")</f>
        <v>#REF!</v>
      </c>
      <c r="T8" s="212" t="e">
        <f>DATEDIF(F8,#REF!,"MD")</f>
        <v>#REF!</v>
      </c>
      <c r="U8" s="212" t="e">
        <f>DATEDIF(F8,#REF!,"YM")</f>
        <v>#REF!</v>
      </c>
      <c r="V8" s="212" t="e">
        <f>DATEDIF(F8,#REF!,"Y")</f>
        <v>#REF!</v>
      </c>
      <c r="W8" s="178"/>
      <c r="X8" s="178"/>
      <c r="Y8" s="178"/>
      <c r="Z8" s="192"/>
      <c r="AA8" s="198" t="s">
        <v>348</v>
      </c>
      <c r="AB8" s="226"/>
      <c r="AC8" s="213"/>
      <c r="AD8" s="227"/>
      <c r="AE8" s="213"/>
      <c r="AF8" s="192"/>
      <c r="AG8" s="195"/>
      <c r="AH8" s="175"/>
      <c r="AI8" s="199"/>
      <c r="AJ8" s="214"/>
    </row>
    <row r="9" spans="1:38" s="12" customFormat="1" ht="15" customHeight="1" thickTop="1" thickBot="1" x14ac:dyDescent="0.4">
      <c r="A9" s="202">
        <v>43318</v>
      </c>
      <c r="B9" s="203">
        <v>103</v>
      </c>
      <c r="C9" s="175" t="s">
        <v>133</v>
      </c>
      <c r="D9" s="193">
        <v>20318117080</v>
      </c>
      <c r="E9" s="200" t="s">
        <v>100</v>
      </c>
      <c r="F9" s="204">
        <v>42151</v>
      </c>
      <c r="G9" s="206">
        <v>127901</v>
      </c>
      <c r="H9" s="207" t="s">
        <v>208</v>
      </c>
      <c r="I9" s="177" t="s">
        <v>25</v>
      </c>
      <c r="J9" s="197" t="s">
        <v>126</v>
      </c>
      <c r="K9" s="178" t="s">
        <v>226</v>
      </c>
      <c r="L9" s="178" t="s">
        <v>330</v>
      </c>
      <c r="M9" s="197">
        <v>8324</v>
      </c>
      <c r="N9" s="178" t="s">
        <v>2</v>
      </c>
      <c r="O9" s="178" t="s">
        <v>3</v>
      </c>
      <c r="P9" s="177">
        <v>31251</v>
      </c>
      <c r="Q9" s="178" t="s">
        <v>159</v>
      </c>
      <c r="R9" s="174" t="s">
        <v>200</v>
      </c>
      <c r="S9" s="174" t="e">
        <f>DATEDIF(P9,#REF!,"Y")</f>
        <v>#REF!</v>
      </c>
      <c r="T9" s="176" t="e">
        <f>DATEDIF(F9,#REF!,"MD")</f>
        <v>#REF!</v>
      </c>
      <c r="U9" s="176" t="e">
        <f>DATEDIF(F9,#REF!,"YM")</f>
        <v>#REF!</v>
      </c>
      <c r="V9" s="176" t="e">
        <f>DATEDIF(F9,#REF!,"Y")</f>
        <v>#REF!</v>
      </c>
      <c r="W9" s="178" t="s">
        <v>98</v>
      </c>
      <c r="X9" s="178" t="s">
        <v>98</v>
      </c>
      <c r="Y9" s="178" t="s">
        <v>216</v>
      </c>
      <c r="Z9" s="178"/>
      <c r="AA9" s="178"/>
      <c r="AB9" s="230">
        <v>43674</v>
      </c>
      <c r="AC9" s="215"/>
      <c r="AD9" s="230">
        <v>43706</v>
      </c>
      <c r="AE9" s="215"/>
      <c r="AF9" s="178"/>
      <c r="AG9" s="223"/>
      <c r="AH9" s="175" t="s">
        <v>355</v>
      </c>
      <c r="AI9" s="222">
        <v>43173</v>
      </c>
      <c r="AJ9" s="231">
        <f>AI9+365</f>
        <v>43538</v>
      </c>
    </row>
    <row r="10" spans="1:38" s="229" customFormat="1" ht="15" customHeight="1" thickTop="1" thickBot="1" x14ac:dyDescent="0.4">
      <c r="A10" s="298">
        <v>43327</v>
      </c>
      <c r="B10" s="299">
        <v>117</v>
      </c>
      <c r="C10" s="265" t="s">
        <v>252</v>
      </c>
      <c r="D10" s="268">
        <v>20321894578</v>
      </c>
      <c r="E10" s="200" t="s">
        <v>100</v>
      </c>
      <c r="F10" s="269">
        <v>42646</v>
      </c>
      <c r="G10" s="270">
        <v>127901</v>
      </c>
      <c r="H10" s="271" t="s">
        <v>208</v>
      </c>
      <c r="I10" s="272" t="s">
        <v>25</v>
      </c>
      <c r="J10" s="273" t="s">
        <v>126</v>
      </c>
      <c r="K10" s="274" t="s">
        <v>226</v>
      </c>
      <c r="L10" s="274" t="s">
        <v>333</v>
      </c>
      <c r="M10" s="273">
        <v>8316</v>
      </c>
      <c r="N10" s="274" t="s">
        <v>4</v>
      </c>
      <c r="O10" s="274" t="s">
        <v>5</v>
      </c>
      <c r="P10" s="272">
        <v>31499</v>
      </c>
      <c r="Q10" s="274" t="s">
        <v>251</v>
      </c>
      <c r="R10" s="267" t="s">
        <v>200</v>
      </c>
      <c r="S10" s="267" t="e">
        <f>DATEDIF(P10,#REF!,"Y")</f>
        <v>#REF!</v>
      </c>
      <c r="T10" s="275" t="e">
        <f>DATEDIF(F10,#REF!,"MD")</f>
        <v>#REF!</v>
      </c>
      <c r="U10" s="275" t="e">
        <f>DATEDIF(F10,#REF!,"YM")</f>
        <v>#REF!</v>
      </c>
      <c r="V10" s="275" t="e">
        <f>DATEDIF(F10,#REF!,"Y")</f>
        <v>#REF!</v>
      </c>
      <c r="W10" s="274" t="s">
        <v>98</v>
      </c>
      <c r="X10" s="274" t="s">
        <v>98</v>
      </c>
      <c r="Y10" s="274" t="s">
        <v>216</v>
      </c>
      <c r="Z10" s="274"/>
      <c r="AA10" s="273" t="s">
        <v>348</v>
      </c>
      <c r="AB10" s="276">
        <v>43508</v>
      </c>
      <c r="AC10" s="277" t="s">
        <v>348</v>
      </c>
      <c r="AD10" s="278">
        <v>43379</v>
      </c>
      <c r="AE10" s="277"/>
      <c r="AF10" s="274"/>
      <c r="AG10" s="279"/>
      <c r="AH10" s="255" t="s">
        <v>357</v>
      </c>
      <c r="AI10" s="256">
        <v>42996</v>
      </c>
      <c r="AJ10" s="257">
        <f>AI10+365</f>
        <v>43361</v>
      </c>
    </row>
    <row r="11" spans="1:38" s="12" customFormat="1" ht="15" customHeight="1" thickTop="1" thickBot="1" x14ac:dyDescent="0.4">
      <c r="A11" s="301">
        <v>43328</v>
      </c>
      <c r="B11" s="300">
        <v>130</v>
      </c>
      <c r="C11" s="255" t="s">
        <v>379</v>
      </c>
      <c r="D11" s="259">
        <v>23293299579</v>
      </c>
      <c r="E11" s="200" t="s">
        <v>100</v>
      </c>
      <c r="F11" s="244">
        <v>43178</v>
      </c>
      <c r="G11" s="246">
        <v>127901</v>
      </c>
      <c r="H11" s="260" t="s">
        <v>208</v>
      </c>
      <c r="I11" s="248" t="s">
        <v>25</v>
      </c>
      <c r="J11" s="249" t="s">
        <v>117</v>
      </c>
      <c r="K11" s="250" t="s">
        <v>70</v>
      </c>
      <c r="L11" s="250" t="s">
        <v>380</v>
      </c>
      <c r="M11" s="249">
        <v>8322</v>
      </c>
      <c r="N11" s="250" t="s">
        <v>381</v>
      </c>
      <c r="O11" s="250" t="s">
        <v>5</v>
      </c>
      <c r="P11" s="248">
        <v>30189</v>
      </c>
      <c r="Q11" s="250">
        <v>2994205952</v>
      </c>
      <c r="R11" s="243" t="s">
        <v>390</v>
      </c>
      <c r="S11" s="243" t="e">
        <f>DATEDIF(P11,#REF!,"Y")</f>
        <v>#REF!</v>
      </c>
      <c r="T11" s="251" t="e">
        <f>DATEDIF(F11,#REF!,"MD")</f>
        <v>#REF!</v>
      </c>
      <c r="U11" s="251" t="e">
        <f>DATEDIF(F11,#REF!,"YM")</f>
        <v>#REF!</v>
      </c>
      <c r="V11" s="251" t="e">
        <f>DATEDIF(F11,#REF!,"Y")</f>
        <v>#REF!</v>
      </c>
      <c r="W11" s="250" t="s">
        <v>98</v>
      </c>
      <c r="X11" s="250" t="s">
        <v>98</v>
      </c>
      <c r="Y11" s="250" t="s">
        <v>31</v>
      </c>
      <c r="Z11" s="250"/>
      <c r="AA11" s="249" t="s">
        <v>348</v>
      </c>
      <c r="AB11" s="252">
        <v>44434</v>
      </c>
      <c r="AC11" s="253" t="s">
        <v>348</v>
      </c>
      <c r="AD11" s="264">
        <v>43973</v>
      </c>
      <c r="AE11" s="253"/>
      <c r="AF11" s="250"/>
      <c r="AG11" s="254"/>
      <c r="AH11" s="255" t="s">
        <v>357</v>
      </c>
      <c r="AI11" s="256">
        <v>43172</v>
      </c>
      <c r="AJ11" s="257">
        <f>AI11+365</f>
        <v>43537</v>
      </c>
    </row>
    <row r="12" spans="1:38" s="229" customFormat="1" ht="15" customHeight="1" thickTop="1" thickBot="1" x14ac:dyDescent="0.4">
      <c r="A12" s="301">
        <v>43334</v>
      </c>
      <c r="B12" s="300">
        <v>114</v>
      </c>
      <c r="C12" s="255" t="s">
        <v>210</v>
      </c>
      <c r="D12" s="259">
        <v>23241316009</v>
      </c>
      <c r="E12" s="200" t="s">
        <v>100</v>
      </c>
      <c r="F12" s="244">
        <v>42390</v>
      </c>
      <c r="G12" s="246">
        <v>127901</v>
      </c>
      <c r="H12" s="260" t="s">
        <v>208</v>
      </c>
      <c r="I12" s="250" t="s">
        <v>25</v>
      </c>
      <c r="J12" s="249" t="s">
        <v>126</v>
      </c>
      <c r="K12" s="250" t="s">
        <v>226</v>
      </c>
      <c r="L12" s="250" t="s">
        <v>324</v>
      </c>
      <c r="M12" s="249">
        <v>8305</v>
      </c>
      <c r="N12" s="250" t="s">
        <v>211</v>
      </c>
      <c r="O12" s="250" t="s">
        <v>3</v>
      </c>
      <c r="P12" s="248">
        <v>27567</v>
      </c>
      <c r="Q12" s="265" t="s">
        <v>215</v>
      </c>
      <c r="R12" s="243" t="s">
        <v>245</v>
      </c>
      <c r="S12" s="243" t="e">
        <f>DATEDIF(P12,#REF!,"Y")</f>
        <v>#REF!</v>
      </c>
      <c r="T12" s="251" t="e">
        <f>DATEDIF(F12,#REF!,"MD")</f>
        <v>#REF!</v>
      </c>
      <c r="U12" s="251" t="e">
        <f>DATEDIF(F12,#REF!,"YM")</f>
        <v>#REF!</v>
      </c>
      <c r="V12" s="251" t="e">
        <f>DATEDIF(F12,#REF!,"Y")</f>
        <v>#REF!</v>
      </c>
      <c r="W12" s="250" t="s">
        <v>98</v>
      </c>
      <c r="X12" s="250" t="s">
        <v>98</v>
      </c>
      <c r="Y12" s="250" t="s">
        <v>31</v>
      </c>
      <c r="Z12" s="250"/>
      <c r="AA12" s="249" t="s">
        <v>348</v>
      </c>
      <c r="AB12" s="252">
        <v>44071</v>
      </c>
      <c r="AC12" s="253" t="s">
        <v>348</v>
      </c>
      <c r="AD12" s="264">
        <v>43912</v>
      </c>
      <c r="AE12" s="253" t="s">
        <v>348</v>
      </c>
      <c r="AF12" s="250">
        <v>43112</v>
      </c>
      <c r="AG12" s="254" t="s">
        <v>351</v>
      </c>
      <c r="AH12" s="255"/>
      <c r="AI12" s="256">
        <v>43082</v>
      </c>
      <c r="AJ12" s="257">
        <f>AI12+365</f>
        <v>43447</v>
      </c>
    </row>
    <row r="13" spans="1:38" s="12" customFormat="1" ht="15" customHeight="1" thickTop="1" thickBot="1" x14ac:dyDescent="0.4">
      <c r="A13" s="301">
        <v>43339</v>
      </c>
      <c r="B13" s="300">
        <v>77</v>
      </c>
      <c r="C13" s="255" t="s">
        <v>21</v>
      </c>
      <c r="D13" s="259">
        <v>20265969179</v>
      </c>
      <c r="E13" s="200" t="s">
        <v>100</v>
      </c>
      <c r="F13" s="244">
        <v>41718</v>
      </c>
      <c r="G13" s="246">
        <v>400800</v>
      </c>
      <c r="H13" s="260" t="s">
        <v>207</v>
      </c>
      <c r="I13" s="248" t="s">
        <v>12</v>
      </c>
      <c r="J13" s="249" t="s">
        <v>239</v>
      </c>
      <c r="K13" s="250" t="s">
        <v>428</v>
      </c>
      <c r="L13" s="250" t="s">
        <v>334</v>
      </c>
      <c r="M13" s="249">
        <v>8319</v>
      </c>
      <c r="N13" s="250" t="s">
        <v>214</v>
      </c>
      <c r="O13" s="250" t="s">
        <v>5</v>
      </c>
      <c r="P13" s="248">
        <v>28573</v>
      </c>
      <c r="Q13" s="250" t="s">
        <v>220</v>
      </c>
      <c r="R13" s="243" t="s">
        <v>200</v>
      </c>
      <c r="S13" s="243" t="e">
        <f>DATEDIF(P13,#REF!,"Y")</f>
        <v>#REF!</v>
      </c>
      <c r="T13" s="251" t="e">
        <f>DATEDIF(F13,#REF!,"MD")</f>
        <v>#REF!</v>
      </c>
      <c r="U13" s="251" t="e">
        <f>DATEDIF(F13,#REF!,"YM")</f>
        <v>#REF!</v>
      </c>
      <c r="V13" s="251" t="e">
        <f>DATEDIF(F13,#REF!,"Y")</f>
        <v>#REF!</v>
      </c>
      <c r="W13" s="250" t="s">
        <v>225</v>
      </c>
      <c r="X13" s="250" t="s">
        <v>225</v>
      </c>
      <c r="Y13" s="250" t="s">
        <v>216</v>
      </c>
      <c r="Z13" s="250"/>
      <c r="AA13" s="250"/>
      <c r="AB13" s="264">
        <v>43548</v>
      </c>
      <c r="AC13" s="255"/>
      <c r="AD13" s="252">
        <v>43910</v>
      </c>
      <c r="AE13" s="253"/>
      <c r="AF13" s="250"/>
      <c r="AG13" s="254"/>
      <c r="AH13" s="255" t="s">
        <v>355</v>
      </c>
      <c r="AI13" s="262">
        <v>42879</v>
      </c>
      <c r="AJ13" s="257">
        <f>AI13+365</f>
        <v>43244</v>
      </c>
    </row>
    <row r="14" spans="1:38" s="12" customFormat="1" ht="15" customHeight="1" thickTop="1" thickBot="1" x14ac:dyDescent="0.4">
      <c r="A14" s="301">
        <v>43343</v>
      </c>
      <c r="B14" s="300">
        <v>122</v>
      </c>
      <c r="C14" s="255" t="s">
        <v>339</v>
      </c>
      <c r="D14" s="259">
        <v>23378567904</v>
      </c>
      <c r="E14" s="200" t="s">
        <v>100</v>
      </c>
      <c r="F14" s="244">
        <v>42891</v>
      </c>
      <c r="G14" s="246" t="s">
        <v>358</v>
      </c>
      <c r="H14" s="260" t="s">
        <v>84</v>
      </c>
      <c r="I14" s="248" t="s">
        <v>24</v>
      </c>
      <c r="J14" s="249" t="s">
        <v>340</v>
      </c>
      <c r="K14" s="250" t="s">
        <v>75</v>
      </c>
      <c r="L14" s="250" t="s">
        <v>341</v>
      </c>
      <c r="M14" s="249">
        <v>8300</v>
      </c>
      <c r="N14" s="250" t="s">
        <v>5</v>
      </c>
      <c r="O14" s="250" t="s">
        <v>5</v>
      </c>
      <c r="P14" s="248">
        <v>34355</v>
      </c>
      <c r="Q14" s="250" t="s">
        <v>342</v>
      </c>
      <c r="R14" s="243" t="s">
        <v>343</v>
      </c>
      <c r="S14" s="243" t="e">
        <f>DATEDIF(P14,#REF!,"Y")</f>
        <v>#REF!</v>
      </c>
      <c r="T14" s="251" t="e">
        <f>DATEDIF(F14,#REF!,"MD")</f>
        <v>#REF!</v>
      </c>
      <c r="U14" s="251" t="e">
        <f>DATEDIF(F14,#REF!,"YM")</f>
        <v>#REF!</v>
      </c>
      <c r="V14" s="251" t="e">
        <f>DATEDIF(F14,#REF!,"Y")</f>
        <v>#REF!</v>
      </c>
      <c r="W14" s="250"/>
      <c r="X14" s="250"/>
      <c r="Y14" s="250" t="s">
        <v>31</v>
      </c>
      <c r="Z14" s="250"/>
      <c r="AA14" s="249"/>
      <c r="AB14" s="264">
        <v>43941</v>
      </c>
      <c r="AC14" s="253"/>
      <c r="AD14" s="263"/>
      <c r="AE14" s="253"/>
      <c r="AF14" s="250"/>
      <c r="AG14" s="254"/>
      <c r="AH14" s="255"/>
      <c r="AI14" s="256"/>
      <c r="AJ14" s="257"/>
    </row>
    <row r="15" spans="1:38" s="12" customFormat="1" ht="15" customHeight="1" thickTop="1" thickBot="1" x14ac:dyDescent="0.4">
      <c r="A15" s="301">
        <v>43346</v>
      </c>
      <c r="B15" s="300">
        <v>132</v>
      </c>
      <c r="C15" s="255" t="s">
        <v>382</v>
      </c>
      <c r="D15" s="259">
        <v>24304325921</v>
      </c>
      <c r="E15" s="200" t="s">
        <v>100</v>
      </c>
      <c r="F15" s="244">
        <v>43193</v>
      </c>
      <c r="G15" s="246" t="s">
        <v>383</v>
      </c>
      <c r="H15" s="260" t="s">
        <v>208</v>
      </c>
      <c r="I15" s="248" t="s">
        <v>25</v>
      </c>
      <c r="J15" s="249" t="s">
        <v>95</v>
      </c>
      <c r="K15" s="250" t="s">
        <v>43</v>
      </c>
      <c r="L15" s="250" t="s">
        <v>384</v>
      </c>
      <c r="M15" s="249">
        <v>8316</v>
      </c>
      <c r="N15" s="250" t="s">
        <v>4</v>
      </c>
      <c r="O15" s="250" t="s">
        <v>5</v>
      </c>
      <c r="P15" s="248">
        <v>30611</v>
      </c>
      <c r="Q15" s="250">
        <v>2996379399</v>
      </c>
      <c r="R15" s="243" t="s">
        <v>200</v>
      </c>
      <c r="S15" s="243" t="e">
        <f>DATEDIF(P15,#REF!,"Y")</f>
        <v>#REF!</v>
      </c>
      <c r="T15" s="251" t="e">
        <f>DATEDIF(F15,#REF!,"MD")</f>
        <v>#REF!</v>
      </c>
      <c r="U15" s="251" t="e">
        <f>DATEDIF(F15,#REF!,"YM")</f>
        <v>#REF!</v>
      </c>
      <c r="V15" s="251" t="e">
        <f>DATEDIF(F15,#REF!,"Y")</f>
        <v>#REF!</v>
      </c>
      <c r="W15" s="250" t="s">
        <v>98</v>
      </c>
      <c r="X15" s="250" t="s">
        <v>98</v>
      </c>
      <c r="Y15" s="250" t="s">
        <v>216</v>
      </c>
      <c r="Z15" s="250"/>
      <c r="AA15" s="249" t="s">
        <v>348</v>
      </c>
      <c r="AB15" s="252">
        <v>44491</v>
      </c>
      <c r="AC15" s="253" t="s">
        <v>348</v>
      </c>
      <c r="AD15" s="252">
        <v>43973</v>
      </c>
      <c r="AE15" s="253"/>
      <c r="AF15" s="250"/>
      <c r="AG15" s="254"/>
      <c r="AH15" s="255" t="s">
        <v>357</v>
      </c>
      <c r="AI15" s="256">
        <v>43179</v>
      </c>
      <c r="AJ15" s="257">
        <v>43544</v>
      </c>
    </row>
    <row r="16" spans="1:38" s="12" customFormat="1" ht="15" customHeight="1" thickTop="1" thickBot="1" x14ac:dyDescent="0.4">
      <c r="A16" s="301">
        <v>43351</v>
      </c>
      <c r="B16" s="300">
        <v>116</v>
      </c>
      <c r="C16" s="255" t="s">
        <v>230</v>
      </c>
      <c r="D16" s="259">
        <v>27209939318</v>
      </c>
      <c r="E16" s="200" t="s">
        <v>100</v>
      </c>
      <c r="F16" s="244">
        <v>42522</v>
      </c>
      <c r="G16" s="246" t="s">
        <v>407</v>
      </c>
      <c r="H16" s="260" t="s">
        <v>207</v>
      </c>
      <c r="I16" s="250" t="s">
        <v>12</v>
      </c>
      <c r="J16" s="249" t="s">
        <v>239</v>
      </c>
      <c r="K16" s="250" t="s">
        <v>250</v>
      </c>
      <c r="L16" s="250" t="s">
        <v>236</v>
      </c>
      <c r="M16" s="249">
        <v>8300</v>
      </c>
      <c r="N16" s="250" t="s">
        <v>5</v>
      </c>
      <c r="O16" s="250" t="s">
        <v>5</v>
      </c>
      <c r="P16" s="248">
        <v>25369</v>
      </c>
      <c r="Q16" s="250" t="s">
        <v>237</v>
      </c>
      <c r="R16" s="243" t="s">
        <v>238</v>
      </c>
      <c r="S16" s="243" t="e">
        <f>DATEDIF(P16,#REF!,"Y")</f>
        <v>#REF!</v>
      </c>
      <c r="T16" s="251" t="e">
        <f>DATEDIF(F16,#REF!,"MD")</f>
        <v>#REF!</v>
      </c>
      <c r="U16" s="251" t="e">
        <f>DATEDIF(F16,#REF!,"YM")</f>
        <v>#REF!</v>
      </c>
      <c r="V16" s="251" t="e">
        <f>DATEDIF(F16,#REF!,"Y")</f>
        <v>#REF!</v>
      </c>
      <c r="W16" s="250"/>
      <c r="X16" s="250"/>
      <c r="Y16" s="250" t="s">
        <v>31</v>
      </c>
      <c r="Z16" s="250"/>
      <c r="AA16" s="249" t="s">
        <v>348</v>
      </c>
      <c r="AB16" s="264">
        <v>45074</v>
      </c>
      <c r="AC16" s="253" t="s">
        <v>348</v>
      </c>
      <c r="AD16" s="264">
        <v>43309</v>
      </c>
      <c r="AE16" s="253"/>
      <c r="AF16" s="250"/>
      <c r="AG16" s="254"/>
      <c r="AH16" s="255" t="s">
        <v>355</v>
      </c>
      <c r="AI16" s="256">
        <v>42926</v>
      </c>
      <c r="AJ16" s="257">
        <f>AI16+365</f>
        <v>43291</v>
      </c>
    </row>
    <row r="17" spans="1:36" s="12" customFormat="1" ht="15" customHeight="1" thickTop="1" thickBot="1" x14ac:dyDescent="0.4">
      <c r="A17" s="301">
        <v>43381</v>
      </c>
      <c r="B17" s="299">
        <v>121</v>
      </c>
      <c r="C17" s="265" t="s">
        <v>296</v>
      </c>
      <c r="D17" s="268">
        <v>20375989833</v>
      </c>
      <c r="E17" s="200" t="s">
        <v>100</v>
      </c>
      <c r="F17" s="269">
        <v>42767</v>
      </c>
      <c r="G17" s="270">
        <v>127901</v>
      </c>
      <c r="H17" s="271" t="s">
        <v>208</v>
      </c>
      <c r="I17" s="272" t="s">
        <v>25</v>
      </c>
      <c r="J17" s="273" t="s">
        <v>227</v>
      </c>
      <c r="K17" s="274" t="s">
        <v>226</v>
      </c>
      <c r="L17" s="274" t="s">
        <v>325</v>
      </c>
      <c r="M17" s="273">
        <v>8319</v>
      </c>
      <c r="N17" s="274" t="s">
        <v>214</v>
      </c>
      <c r="O17" s="274" t="s">
        <v>5</v>
      </c>
      <c r="P17" s="272">
        <v>33961</v>
      </c>
      <c r="Q17" s="274" t="s">
        <v>326</v>
      </c>
      <c r="R17" s="267" t="s">
        <v>200</v>
      </c>
      <c r="S17" s="267" t="e">
        <f>DATEDIF(P17,#REF!,"Y")</f>
        <v>#REF!</v>
      </c>
      <c r="T17" s="275" t="e">
        <f>DATEDIF(F17,#REF!,"MD")</f>
        <v>#REF!</v>
      </c>
      <c r="U17" s="275" t="e">
        <f>DATEDIF(F17,#REF!,"YM")</f>
        <v>#REF!</v>
      </c>
      <c r="V17" s="275" t="e">
        <f>DATEDIF(F17,#REF!,"Y")</f>
        <v>#REF!</v>
      </c>
      <c r="W17" s="274" t="s">
        <v>98</v>
      </c>
      <c r="X17" s="274" t="s">
        <v>98</v>
      </c>
      <c r="Y17" s="274" t="s">
        <v>216</v>
      </c>
      <c r="Z17" s="274"/>
      <c r="AA17" s="273" t="s">
        <v>348</v>
      </c>
      <c r="AB17" s="276">
        <v>44553</v>
      </c>
      <c r="AC17" s="277" t="s">
        <v>348</v>
      </c>
      <c r="AD17" s="276">
        <v>43491</v>
      </c>
      <c r="AE17" s="277"/>
      <c r="AF17" s="272"/>
      <c r="AG17" s="279"/>
      <c r="AH17" s="255" t="s">
        <v>355</v>
      </c>
      <c r="AI17" s="262">
        <v>43136</v>
      </c>
      <c r="AJ17" s="257">
        <f>AI17+365</f>
        <v>43501</v>
      </c>
    </row>
    <row r="18" spans="1:36" s="12" customFormat="1" ht="15" customHeight="1" thickTop="1" thickBot="1" x14ac:dyDescent="0.4">
      <c r="A18" s="301">
        <v>43409</v>
      </c>
      <c r="B18" s="299">
        <v>155</v>
      </c>
      <c r="C18" s="265" t="s">
        <v>464</v>
      </c>
      <c r="D18" s="268">
        <v>20249786129</v>
      </c>
      <c r="E18" s="200" t="s">
        <v>100</v>
      </c>
      <c r="F18" s="269">
        <v>43374</v>
      </c>
      <c r="G18" s="270" t="s">
        <v>383</v>
      </c>
      <c r="H18" s="271" t="s">
        <v>208</v>
      </c>
      <c r="I18" s="272" t="s">
        <v>25</v>
      </c>
      <c r="J18" s="273" t="s">
        <v>120</v>
      </c>
      <c r="K18" s="274" t="s">
        <v>469</v>
      </c>
      <c r="L18" s="274" t="s">
        <v>470</v>
      </c>
      <c r="M18" s="273">
        <v>8324</v>
      </c>
      <c r="N18" s="274" t="s">
        <v>2</v>
      </c>
      <c r="O18" s="274" t="s">
        <v>3</v>
      </c>
      <c r="P18" s="272">
        <v>27722</v>
      </c>
      <c r="Q18" s="274">
        <v>2995968114</v>
      </c>
      <c r="R18" s="267" t="s">
        <v>455</v>
      </c>
      <c r="S18" s="267" t="e">
        <f>DATEDIF(P18,#REF!,"Y")</f>
        <v>#REF!</v>
      </c>
      <c r="T18" s="275" t="e">
        <f>DATEDIF(F18,#REF!,"MD")</f>
        <v>#REF!</v>
      </c>
      <c r="U18" s="275" t="e">
        <f>DATEDIF(F18,#REF!,"YM")</f>
        <v>#REF!</v>
      </c>
      <c r="V18" s="275" t="e">
        <f>DATEDIF(F18,#REF!,"Y")</f>
        <v>#REF!</v>
      </c>
      <c r="W18" s="274" t="s">
        <v>98</v>
      </c>
      <c r="X18" s="274" t="s">
        <v>98</v>
      </c>
      <c r="Y18" s="274" t="s">
        <v>216</v>
      </c>
      <c r="Z18" s="274"/>
      <c r="AA18" s="273" t="s">
        <v>348</v>
      </c>
      <c r="AB18" s="276">
        <v>43793</v>
      </c>
      <c r="AC18" s="277"/>
      <c r="AD18" s="276"/>
      <c r="AE18" s="277"/>
      <c r="AF18" s="272"/>
      <c r="AG18" s="279"/>
      <c r="AH18" s="255" t="s">
        <v>357</v>
      </c>
      <c r="AI18" s="262">
        <v>43350</v>
      </c>
      <c r="AJ18" s="257">
        <v>43715</v>
      </c>
    </row>
    <row r="19" spans="1:36" s="12" customFormat="1" ht="15" customHeight="1" thickTop="1" thickBot="1" x14ac:dyDescent="0.4">
      <c r="A19" s="301">
        <v>43434</v>
      </c>
      <c r="B19" s="299">
        <v>146</v>
      </c>
      <c r="C19" s="265" t="s">
        <v>444</v>
      </c>
      <c r="D19" s="268">
        <v>27273638674</v>
      </c>
      <c r="E19" s="200" t="s">
        <v>313</v>
      </c>
      <c r="F19" s="269">
        <v>43344</v>
      </c>
      <c r="G19" s="270" t="s">
        <v>374</v>
      </c>
      <c r="H19" s="271" t="s">
        <v>84</v>
      </c>
      <c r="I19" s="272" t="s">
        <v>24</v>
      </c>
      <c r="J19" s="273" t="s">
        <v>421</v>
      </c>
      <c r="K19" s="274" t="s">
        <v>445</v>
      </c>
      <c r="L19" s="274" t="s">
        <v>446</v>
      </c>
      <c r="M19" s="273">
        <v>8300</v>
      </c>
      <c r="N19" s="274" t="s">
        <v>5</v>
      </c>
      <c r="O19" s="274" t="s">
        <v>5</v>
      </c>
      <c r="P19" s="272">
        <v>29113</v>
      </c>
      <c r="Q19" s="274">
        <v>2995748441</v>
      </c>
      <c r="R19" s="267" t="s">
        <v>200</v>
      </c>
      <c r="S19" s="267" t="e">
        <f>DATEDIF(P19,#REF!,"Y")</f>
        <v>#REF!</v>
      </c>
      <c r="T19" s="275" t="e">
        <f>DATEDIF(F19,#REF!,"MD")</f>
        <v>#REF!</v>
      </c>
      <c r="U19" s="275" t="e">
        <f>DATEDIF(F19,#REF!,"YM")</f>
        <v>#REF!</v>
      </c>
      <c r="V19" s="275" t="e">
        <f>DATEDIF(F19,#REF!,"Y")</f>
        <v>#REF!</v>
      </c>
      <c r="W19" s="274"/>
      <c r="X19" s="274"/>
      <c r="Y19" s="274" t="s">
        <v>216</v>
      </c>
      <c r="Z19" s="274"/>
      <c r="AA19" s="273" t="s">
        <v>348</v>
      </c>
      <c r="AB19" s="276">
        <v>44089</v>
      </c>
      <c r="AC19" s="277"/>
      <c r="AD19" s="276"/>
      <c r="AE19" s="277"/>
      <c r="AF19" s="272"/>
      <c r="AG19" s="279"/>
      <c r="AH19" s="255" t="s">
        <v>357</v>
      </c>
      <c r="AI19" s="262">
        <v>43341</v>
      </c>
      <c r="AJ19" s="257">
        <v>43706</v>
      </c>
    </row>
    <row r="20" spans="1:36" s="12" customFormat="1" ht="15" customHeight="1" thickTop="1" thickBot="1" x14ac:dyDescent="0.4">
      <c r="A20" s="301">
        <v>43434</v>
      </c>
      <c r="B20" s="299">
        <v>145</v>
      </c>
      <c r="C20" s="265" t="s">
        <v>440</v>
      </c>
      <c r="D20" s="268">
        <v>20957165908</v>
      </c>
      <c r="E20" s="200" t="s">
        <v>313</v>
      </c>
      <c r="F20" s="269">
        <v>43344</v>
      </c>
      <c r="G20" s="270" t="s">
        <v>374</v>
      </c>
      <c r="H20" s="271" t="s">
        <v>207</v>
      </c>
      <c r="I20" s="272" t="s">
        <v>12</v>
      </c>
      <c r="J20" s="273" t="s">
        <v>239</v>
      </c>
      <c r="K20" s="274" t="s">
        <v>441</v>
      </c>
      <c r="L20" s="274" t="s">
        <v>442</v>
      </c>
      <c r="M20" s="273">
        <v>8300</v>
      </c>
      <c r="N20" s="274" t="s">
        <v>5</v>
      </c>
      <c r="O20" s="274" t="s">
        <v>5</v>
      </c>
      <c r="P20" s="272">
        <v>25943</v>
      </c>
      <c r="Q20" s="274">
        <v>2994013224</v>
      </c>
      <c r="R20" s="267" t="s">
        <v>443</v>
      </c>
      <c r="S20" s="267" t="e">
        <f>DATEDIF(P20,#REF!,"Y")</f>
        <v>#REF!</v>
      </c>
      <c r="T20" s="275" t="e">
        <f>DATEDIF(F20,#REF!,"MD")</f>
        <v>#REF!</v>
      </c>
      <c r="U20" s="275" t="e">
        <f>DATEDIF(F20,#REF!,"YM")</f>
        <v>#REF!</v>
      </c>
      <c r="V20" s="275" t="e">
        <f>DATEDIF(F20,#REF!,"Y")</f>
        <v>#REF!</v>
      </c>
      <c r="W20" s="274"/>
      <c r="X20" s="274"/>
      <c r="Y20" s="274" t="s">
        <v>216</v>
      </c>
      <c r="Z20" s="274"/>
      <c r="AA20" s="273"/>
      <c r="AB20" s="276" t="s">
        <v>461</v>
      </c>
      <c r="AC20" s="277"/>
      <c r="AD20" s="276"/>
      <c r="AE20" s="277"/>
      <c r="AF20" s="272"/>
      <c r="AG20" s="279"/>
      <c r="AH20" s="255" t="s">
        <v>357</v>
      </c>
      <c r="AI20" s="262">
        <v>43339</v>
      </c>
      <c r="AJ20" s="257">
        <v>43704</v>
      </c>
    </row>
    <row r="21" spans="1:36" s="12" customFormat="1" ht="15" customHeight="1" thickTop="1" thickBot="1" x14ac:dyDescent="0.4">
      <c r="A21" s="301">
        <v>43448</v>
      </c>
      <c r="B21" s="319">
        <v>154</v>
      </c>
      <c r="C21" s="285" t="s">
        <v>463</v>
      </c>
      <c r="D21" s="287">
        <v>20161501426</v>
      </c>
      <c r="E21" s="200" t="s">
        <v>313</v>
      </c>
      <c r="F21" s="288">
        <v>43374</v>
      </c>
      <c r="G21" s="246" t="s">
        <v>383</v>
      </c>
      <c r="H21" s="289" t="s">
        <v>208</v>
      </c>
      <c r="I21" s="290" t="s">
        <v>25</v>
      </c>
      <c r="J21" s="291" t="s">
        <v>26</v>
      </c>
      <c r="K21" s="292" t="s">
        <v>219</v>
      </c>
      <c r="L21" s="292" t="s">
        <v>468</v>
      </c>
      <c r="M21" s="291">
        <v>8316</v>
      </c>
      <c r="N21" s="292" t="s">
        <v>4</v>
      </c>
      <c r="O21" s="292" t="s">
        <v>5</v>
      </c>
      <c r="P21" s="290">
        <v>22951</v>
      </c>
      <c r="Q21" s="292">
        <v>2942616434</v>
      </c>
      <c r="R21" s="286"/>
      <c r="S21" s="286" t="e">
        <f>DATEDIF(P21,#REF!,"Y")</f>
        <v>#REF!</v>
      </c>
      <c r="T21" s="293" t="e">
        <f>DATEDIF(F21,#REF!,"MD")</f>
        <v>#REF!</v>
      </c>
      <c r="U21" s="293" t="e">
        <f>DATEDIF(F21,#REF!,"YM")</f>
        <v>#REF!</v>
      </c>
      <c r="V21" s="293" t="e">
        <f>DATEDIF(F21,#REF!,"Y")</f>
        <v>#REF!</v>
      </c>
      <c r="W21" s="292" t="s">
        <v>98</v>
      </c>
      <c r="X21" s="292" t="s">
        <v>98</v>
      </c>
      <c r="Y21" s="292" t="s">
        <v>216</v>
      </c>
      <c r="Z21" s="292"/>
      <c r="AA21" s="291" t="s">
        <v>348</v>
      </c>
      <c r="AB21" s="304">
        <v>43410</v>
      </c>
      <c r="AC21" s="295" t="s">
        <v>348</v>
      </c>
      <c r="AD21" s="294">
        <v>44135</v>
      </c>
      <c r="AE21" s="295" t="s">
        <v>348</v>
      </c>
      <c r="AF21" s="316">
        <v>43715</v>
      </c>
      <c r="AG21" s="296"/>
      <c r="AH21" s="285" t="s">
        <v>357</v>
      </c>
      <c r="AI21" s="297">
        <v>43350</v>
      </c>
      <c r="AJ21" s="314">
        <v>43715</v>
      </c>
    </row>
    <row r="22" spans="1:36" s="305" customFormat="1" ht="15" customHeight="1" thickTop="1" thickBot="1" x14ac:dyDescent="0.4">
      <c r="A22" s="301">
        <v>43448</v>
      </c>
      <c r="B22" s="300">
        <v>158</v>
      </c>
      <c r="C22" s="255" t="s">
        <v>474</v>
      </c>
      <c r="D22" s="259">
        <v>20227262541</v>
      </c>
      <c r="E22" s="200" t="s">
        <v>313</v>
      </c>
      <c r="F22" s="244">
        <v>43411</v>
      </c>
      <c r="G22" s="246" t="s">
        <v>383</v>
      </c>
      <c r="H22" s="260" t="s">
        <v>208</v>
      </c>
      <c r="I22" s="248" t="s">
        <v>25</v>
      </c>
      <c r="J22" s="249" t="s">
        <v>26</v>
      </c>
      <c r="K22" s="250" t="s">
        <v>219</v>
      </c>
      <c r="L22" s="250" t="s">
        <v>475</v>
      </c>
      <c r="M22" s="249">
        <v>8300</v>
      </c>
      <c r="N22" s="250" t="s">
        <v>5</v>
      </c>
      <c r="O22" s="250" t="s">
        <v>5</v>
      </c>
      <c r="P22" s="248">
        <v>26392</v>
      </c>
      <c r="Q22" s="250">
        <v>2994516485</v>
      </c>
      <c r="R22" s="243"/>
      <c r="S22" s="243" t="e">
        <f>DATEDIF(P22,#REF!,"Y")</f>
        <v>#REF!</v>
      </c>
      <c r="T22" s="251" t="e">
        <f>DATEDIF(F22,#REF!,"MD")</f>
        <v>#REF!</v>
      </c>
      <c r="U22" s="251" t="e">
        <f>DATEDIF(F22,#REF!,"YM")</f>
        <v>#REF!</v>
      </c>
      <c r="V22" s="251" t="e">
        <f>DATEDIF(F22,#REF!,"Y")</f>
        <v>#REF!</v>
      </c>
      <c r="W22" s="250" t="s">
        <v>98</v>
      </c>
      <c r="X22" s="250" t="s">
        <v>98</v>
      </c>
      <c r="Y22" s="250"/>
      <c r="Z22" s="250"/>
      <c r="AA22" s="249" t="s">
        <v>348</v>
      </c>
      <c r="AB22" s="252">
        <v>44679</v>
      </c>
      <c r="AC22" s="253"/>
      <c r="AD22" s="264"/>
      <c r="AE22" s="253"/>
      <c r="AF22" s="250"/>
      <c r="AG22" s="254"/>
      <c r="AH22" s="255" t="s">
        <v>357</v>
      </c>
      <c r="AI22" s="256">
        <v>43406</v>
      </c>
      <c r="AJ22" s="313">
        <v>43771</v>
      </c>
    </row>
    <row r="23" spans="1:36" ht="15.75" customHeight="1" thickTop="1" x14ac:dyDescent="0.35">
      <c r="A23" s="1"/>
    </row>
    <row r="24" spans="1:36" ht="15.75" customHeight="1" x14ac:dyDescent="0.35">
      <c r="A24" s="1"/>
    </row>
    <row r="25" spans="1:36" ht="15.75" customHeight="1" x14ac:dyDescent="0.35">
      <c r="A25" s="1"/>
    </row>
    <row r="26" spans="1:36" ht="15.75" customHeight="1" x14ac:dyDescent="0.35">
      <c r="A26" s="1"/>
    </row>
    <row r="27" spans="1:36" ht="15.75" customHeight="1" x14ac:dyDescent="0.35">
      <c r="A27" s="1"/>
    </row>
    <row r="28" spans="1:36" ht="15.75" customHeight="1" x14ac:dyDescent="0.35">
      <c r="A28" s="1"/>
    </row>
    <row r="29" spans="1:36" ht="15.75" customHeight="1" x14ac:dyDescent="0.35">
      <c r="A29" s="1"/>
    </row>
    <row r="30" spans="1:36" ht="15.75" customHeight="1" x14ac:dyDescent="0.35">
      <c r="A30" s="1"/>
    </row>
    <row r="31" spans="1:36" ht="15.75" customHeight="1" x14ac:dyDescent="0.35">
      <c r="A31" s="1"/>
    </row>
  </sheetData>
  <mergeCells count="23">
    <mergeCell ref="Y2:Y3"/>
    <mergeCell ref="L2:L3"/>
    <mergeCell ref="M2:M3"/>
    <mergeCell ref="N2:N3"/>
    <mergeCell ref="O2:O3"/>
    <mergeCell ref="P2:P3"/>
    <mergeCell ref="Q2:Q3"/>
    <mergeCell ref="R2:R3"/>
    <mergeCell ref="S2:S3"/>
    <mergeCell ref="T2:V2"/>
    <mergeCell ref="W2:W3"/>
    <mergeCell ref="X2:X3"/>
    <mergeCell ref="K2:K3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</mergeCells>
  <hyperlinks>
    <hyperlink ref="AC4" r:id="rId1" display="05/03/2021 C" xr:uid="{00000000-0004-0000-0800-000000000000}"/>
    <hyperlink ref="AF4" r:id="rId2" display="2016-02-07 MD VTO 06-02-2018" xr:uid="{00000000-0004-0000-0800-000001000000}"/>
    <hyperlink ref="AK4" r:id="rId3" display="01) RRHH\MARENGO, Matias\PERIODICO MARENGO 29-09-2017.pdf" xr:uid="{00000000-0004-0000-0800-000002000000}"/>
    <hyperlink ref="AB5" r:id="rId4" display="01) RRHH\CAÑETE, Alejandro\Carnet categoria C.pdf" xr:uid="{00000000-0004-0000-0800-000003000000}"/>
    <hyperlink ref="AE5" r:id="rId5" display="01) RRHH\CAÑETE, Alejandro\MD VTO25-02-2018.pdf" xr:uid="{00000000-0004-0000-0800-000004000000}"/>
    <hyperlink ref="AJ5" r:id="rId6" display="01) RRHH\CAÑETE, Alejandro\PERIODICO CAÑETE 29-09-2017.pdf" xr:uid="{00000000-0004-0000-0800-000005000000}"/>
    <hyperlink ref="AI6" r:id="rId7" display="01) RRHH\IBAÑEZ, Nelson\periodico.pdf" xr:uid="{00000000-0004-0000-0800-000006000000}"/>
    <hyperlink ref="AD6" r:id="rId8" display="01) RRHH\IBAÑEZ, Nelson\MD VTO 04-07-2019.pdf" xr:uid="{00000000-0004-0000-0800-000007000000}"/>
    <hyperlink ref="AB6" r:id="rId9" display="01) RRHH\IBAÑEZ, Nelson\CARNET IBAÑEZ E. 10-07-2017.pdf" xr:uid="{00000000-0004-0000-0800-000008000000}"/>
    <hyperlink ref="AI9" r:id="rId10" display="01) RRHH\ACIAR, Eduardo\PERIODICO ACIAR 14-03-2018.pdf" xr:uid="{00000000-0004-0000-0800-000009000000}"/>
    <hyperlink ref="AB9" r:id="rId11" display="01) RRHH\ACIAR, Eduardo\carnet aciar vto 28-07-2019.pdf" xr:uid="{00000000-0004-0000-0800-00000A000000}"/>
    <hyperlink ref="AD9" r:id="rId12" display="01) RRHH\ACIAR, Eduardo\MD VTO 29-08-2019.pdf" xr:uid="{00000000-0004-0000-0800-00000B000000}"/>
    <hyperlink ref="AI10" r:id="rId13" display="01) RRHH\MERIÑO, Guillermo\Periodico Meriño vto 18-09-2018.pdf" xr:uid="{00000000-0004-0000-0800-00000C000000}"/>
    <hyperlink ref="AB10" r:id="rId14" display="01) RRHH\MERIÑO, Guillermo\MERIÑO Carnet E VTO 12-02-2019.pdf" xr:uid="{00000000-0004-0000-0800-00000D000000}"/>
    <hyperlink ref="AD10" r:id="rId15" display="01) RRHH\MERIÑO, Guillermo\MD VTO  06-10-18.pdf" xr:uid="{00000000-0004-0000-0800-00000E000000}"/>
    <hyperlink ref="AD11" r:id="rId16" display="01) RRHH\GIMENEZ, Mario Luis\MD VTO 22-05-2020.pdf" xr:uid="{00000000-0004-0000-0800-00000F000000}"/>
    <hyperlink ref="AB11" r:id="rId17" display="01) RRHH\GIMENEZ, Mario Luis\CARNET GIMENEZ MARIO.pdf" xr:uid="{00000000-0004-0000-0800-000010000000}"/>
    <hyperlink ref="AI11" r:id="rId18" display="01) RRHH\GIMENEZ, Mario Luis\PREOCUPACIONAL.pdf" xr:uid="{00000000-0004-0000-0800-000011000000}"/>
    <hyperlink ref="AF12" r:id="rId19" display="01) RRHH\ORTEGA, Ignacio José\CNRT.pdf" xr:uid="{00000000-0004-0000-0800-000012000000}"/>
    <hyperlink ref="AI12" r:id="rId20" display="01) RRHH\ORTEGA, Ignacio José\PERIODICO ORTEGA 13-12-2017.pdf" xr:uid="{00000000-0004-0000-0800-000013000000}"/>
    <hyperlink ref="AD12" r:id="rId21" display="01) RRHH\ORTEGA, Ignacio José\MD Ortega VTO 22-03-2020.pdf" xr:uid="{00000000-0004-0000-0800-000014000000}"/>
    <hyperlink ref="AB12" r:id="rId22" display="01) RRHH\ORTEGA, Ignacio José\CARNET C-D-E Ortega Jose.pdf" xr:uid="{00000000-0004-0000-0800-000015000000}"/>
    <hyperlink ref="AD13" r:id="rId23" display="01) RRHH\ALVEAL, Sergio\MD VTO 20-03-2020.pdf" xr:uid="{00000000-0004-0000-0800-000016000000}"/>
    <hyperlink ref="AB13" r:id="rId24" display="01) RRHH\ALVEAL, Sergio\CARNET DE CONDUCIR VTO 24-03-2019.pdf" xr:uid="{00000000-0004-0000-0800-000017000000}"/>
    <hyperlink ref="AI13" r:id="rId25" display="01) RRHH\ALVEAL, Sergio\VTO 24-05-2018Examen periodico Alveal Sergio.pdf" xr:uid="{00000000-0004-0000-0800-000018000000}"/>
    <hyperlink ref="AB14" r:id="rId26" display="01) RRHH\PIZARRO, Lissette\Carnet conducir Lissette.P.pdf" xr:uid="{00000000-0004-0000-0800-000019000000}"/>
    <hyperlink ref="AI15" r:id="rId27" display="01) RRHH\FUENTES, Javier Antonio\Examen preocupacional.pdf" xr:uid="{00000000-0004-0000-0800-00001A000000}"/>
    <hyperlink ref="AB15" r:id="rId28" display="01) RRHH\FUENTES, Javier Antonio\CARNET DE CONDUCIR.pdf" xr:uid="{00000000-0004-0000-0800-00001B000000}"/>
    <hyperlink ref="AD15" r:id="rId29" display="01) RRHH\FUENTES, Javier Antonio\MD VTO 22-05-2020.pdf" xr:uid="{00000000-0004-0000-0800-00001C000000}"/>
    <hyperlink ref="AD16" r:id="rId30" display="01) RRHH\MONTSERRAT, Silvana\MONSERRAT S. MD.pdf" xr:uid="{00000000-0004-0000-0800-00001D000000}"/>
    <hyperlink ref="AB16" r:id="rId31" display="01) RRHH\MONTSERRAT, Silvana\CARNET DE CONDUCIR VTO 28-05-2023.pdf" xr:uid="{00000000-0004-0000-0800-00001E000000}"/>
    <hyperlink ref="AI16" r:id="rId32" display="01) RRHH\MONTSERRAT, Silvana\Periodico monserrat silvana VTO 10-07-2018.pdf" xr:uid="{00000000-0004-0000-0800-00001F000000}"/>
    <hyperlink ref="AI17" r:id="rId33" display="01) RRHH\ARANGUEZ, Fernando\Periodico vto 05-02-2019.pdf" xr:uid="{00000000-0004-0000-0800-000020000000}"/>
    <hyperlink ref="AB17" r:id="rId34" display="01) RRHH\ARANGUEZ, Fernando\CARNET ARANGUEZ FERNANDO ALFREDO 16-01-2017.pdf" xr:uid="{00000000-0004-0000-0800-000021000000}"/>
    <hyperlink ref="AD17" r:id="rId35" display="01) RRHH\ARANGUEZ, Fernando\MD ARANGUEZ 26-01-2019.pdf" xr:uid="{00000000-0004-0000-0800-000022000000}"/>
    <hyperlink ref="AI18" r:id="rId36" display="01) RRHH\GORDILLO, DANIEL ENRIQUE\ex preocupacional 07-09-2019.pdf" xr:uid="{00000000-0004-0000-0800-000023000000}"/>
    <hyperlink ref="AB18" r:id="rId37" display="01) RRHH\GORDILLO, DANIEL ENRIQUE\LICENCIA GORDILLO VTO 24-11-2019.pdf" xr:uid="{00000000-0004-0000-0800-000024000000}"/>
    <hyperlink ref="AB19" r:id="rId38" display="01) RRHH\LEON MARIELA\CARNET CONDUCIR LEON MARIELA.pdf" xr:uid="{00000000-0004-0000-0800-000025000000}"/>
    <hyperlink ref="AI19" r:id="rId39" display="01) RRHH\LEON MARIELA\ex preocupacional 29-08-2018.pdf" xr:uid="{00000000-0004-0000-0800-000026000000}"/>
    <hyperlink ref="AI20" r:id="rId40" display="01) RRHH\PEÑA RAMOS DARIO\Peña Ramos Ramon - S  Naser.pdf" xr:uid="{00000000-0004-0000-0800-000027000000}"/>
    <hyperlink ref="AB20" r:id="rId41" xr:uid="{00000000-0004-0000-0800-000028000000}"/>
    <hyperlink ref="AB21" r:id="rId42" display="01) RRHH\LUJAN, ROBERTO SANTOS\LUJAN LICENCIA VTO 06112018.pdf" xr:uid="{00000000-0004-0000-0800-000029000000}"/>
    <hyperlink ref="AI21" r:id="rId43" display="01) RRHH\GORDILLO, DANIEL ENRIQUE\ex preocupacional 07-09-2019.pdf" xr:uid="{00000000-0004-0000-0800-00002A000000}"/>
    <hyperlink ref="AD21" r:id="rId44" display="01) RRHH\LUJAN, ROBERTO SANTOS\MD LUJANpdf.pdf" xr:uid="{00000000-0004-0000-0800-00002B000000}"/>
    <hyperlink ref="AF21" r:id="rId45" display="01) RRHH\LUJAN, ROBERTO SANTOS\psicofisico cargas grales.pdf" xr:uid="{00000000-0004-0000-0800-00002C000000}"/>
    <hyperlink ref="AB22" r:id="rId46" display="01) RRHH\OLIVA, ANGEL DAVID\LICENCIA OLIVA.pdf" xr:uid="{00000000-0004-0000-0800-00002D000000}"/>
    <hyperlink ref="AI22" r:id="rId47" display="01) RRHH\OLIVA, ANGEL DAVID\pre ocupacional  vto 02-11-2019.pdf" xr:uid="{00000000-0004-0000-0800-00002E000000}"/>
  </hyperlinks>
  <pageMargins left="0.7" right="0.7" top="0.75" bottom="0.75" header="0.3" footer="0.3"/>
  <pageSetup paperSize="9" orientation="portrait" r:id="rId48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 tint="0.39997558519241921"/>
  </sheetPr>
  <dimension ref="A1:AB29"/>
  <sheetViews>
    <sheetView zoomScaleNormal="100" workbookViewId="0">
      <pane ySplit="3" topLeftCell="A4" activePane="bottomLeft" state="frozen"/>
      <selection pane="bottomLeft" activeCell="A6" sqref="A6"/>
    </sheetView>
  </sheetViews>
  <sheetFormatPr baseColWidth="10" defaultColWidth="11.69140625" defaultRowHeight="15.75" customHeight="1" x14ac:dyDescent="0.35"/>
  <cols>
    <col min="1" max="1" width="8.4609375" style="2" bestFit="1" customWidth="1"/>
    <col min="2" max="2" width="4" style="2" bestFit="1" customWidth="1"/>
    <col min="3" max="3" width="23.765625" style="2" bestFit="1" customWidth="1"/>
    <col min="4" max="4" width="9.4609375" style="2" bestFit="1" customWidth="1"/>
    <col min="5" max="5" width="15.23046875" style="2" customWidth="1"/>
    <col min="6" max="6" width="9" style="2" customWidth="1"/>
    <col min="7" max="7" width="8.4609375" style="2" bestFit="1" customWidth="1"/>
    <col min="8" max="8" width="11.765625" style="3" bestFit="1" customWidth="1"/>
    <col min="9" max="9" width="9" style="4" bestFit="1" customWidth="1"/>
    <col min="10" max="10" width="13" style="2" bestFit="1" customWidth="1"/>
    <col min="11" max="11" width="27.3046875" style="4" bestFit="1" customWidth="1"/>
    <col min="12" max="12" width="3.84375" style="3" bestFit="1" customWidth="1"/>
    <col min="13" max="13" width="10.4609375" style="4" bestFit="1" customWidth="1"/>
    <col min="14" max="14" width="8.3046875" style="2" bestFit="1" customWidth="1"/>
    <col min="15" max="15" width="9" style="2" bestFit="1" customWidth="1"/>
    <col min="16" max="16" width="8.23046875" style="2" bestFit="1" customWidth="1"/>
    <col min="17" max="17" width="8.07421875" style="2" bestFit="1" customWidth="1"/>
    <col min="18" max="18" width="4.4609375" style="2" bestFit="1" customWidth="1"/>
    <col min="19" max="19" width="11.69140625" style="2"/>
    <col min="20" max="20" width="11.765625" style="2" bestFit="1" customWidth="1"/>
    <col min="21" max="21" width="6" style="2" bestFit="1" customWidth="1"/>
    <col min="22" max="23" width="3.84375" style="2" customWidth="1"/>
    <col min="24" max="16384" width="11.69140625" style="2"/>
  </cols>
  <sheetData>
    <row r="1" spans="1:28" ht="15.75" customHeight="1" thickBot="1" x14ac:dyDescent="0.4"/>
    <row r="2" spans="1:28" ht="15.75" customHeight="1" thickBot="1" x14ac:dyDescent="0.4">
      <c r="A2" s="502" t="s">
        <v>93</v>
      </c>
      <c r="B2" s="502" t="s">
        <v>10</v>
      </c>
      <c r="C2" s="502" t="s">
        <v>6</v>
      </c>
      <c r="D2" s="502" t="s">
        <v>0</v>
      </c>
      <c r="E2" s="502" t="s">
        <v>103</v>
      </c>
      <c r="F2" s="502" t="s">
        <v>104</v>
      </c>
      <c r="G2" s="502" t="s">
        <v>112</v>
      </c>
      <c r="H2" s="502" t="s">
        <v>192</v>
      </c>
      <c r="I2" s="502" t="s">
        <v>185</v>
      </c>
      <c r="J2" s="502" t="s">
        <v>176</v>
      </c>
      <c r="K2" s="502" t="s">
        <v>186</v>
      </c>
      <c r="L2" s="502" t="s">
        <v>8</v>
      </c>
      <c r="M2" s="502" t="s">
        <v>1</v>
      </c>
      <c r="N2" s="502" t="s">
        <v>177</v>
      </c>
      <c r="O2" s="502" t="s">
        <v>178</v>
      </c>
      <c r="P2" s="502" t="s">
        <v>191</v>
      </c>
      <c r="Q2" s="502" t="s">
        <v>190</v>
      </c>
      <c r="R2" s="502" t="s">
        <v>179</v>
      </c>
      <c r="S2" s="502" t="s">
        <v>180</v>
      </c>
      <c r="T2" s="502" t="s">
        <v>181</v>
      </c>
      <c r="U2" s="502" t="s">
        <v>182</v>
      </c>
      <c r="V2" s="502"/>
      <c r="W2" s="502"/>
      <c r="X2" s="502" t="s">
        <v>22</v>
      </c>
      <c r="Y2" s="502" t="s">
        <v>23</v>
      </c>
      <c r="Z2" s="502" t="s">
        <v>9</v>
      </c>
    </row>
    <row r="3" spans="1:28" ht="15.75" customHeight="1" thickBot="1" x14ac:dyDescent="0.4">
      <c r="A3" s="502"/>
      <c r="B3" s="502"/>
      <c r="C3" s="502"/>
      <c r="D3" s="502"/>
      <c r="E3" s="502"/>
      <c r="F3" s="502"/>
      <c r="G3" s="502"/>
      <c r="H3" s="502"/>
      <c r="I3" s="502"/>
      <c r="J3" s="502"/>
      <c r="K3" s="502"/>
      <c r="L3" s="502"/>
      <c r="M3" s="502"/>
      <c r="N3" s="502"/>
      <c r="O3" s="502"/>
      <c r="P3" s="502"/>
      <c r="Q3" s="502"/>
      <c r="R3" s="502"/>
      <c r="S3" s="502"/>
      <c r="T3" s="502"/>
      <c r="U3" s="50" t="s">
        <v>187</v>
      </c>
      <c r="V3" s="50" t="s">
        <v>188</v>
      </c>
      <c r="W3" s="50" t="s">
        <v>189</v>
      </c>
      <c r="X3" s="502"/>
      <c r="Y3" s="502"/>
      <c r="Z3" s="502"/>
    </row>
    <row r="4" spans="1:28" s="12" customFormat="1" ht="15" customHeight="1" x14ac:dyDescent="0.35">
      <c r="A4" s="125">
        <v>42795</v>
      </c>
      <c r="B4" s="27">
        <v>69</v>
      </c>
      <c r="C4" s="24" t="s">
        <v>17</v>
      </c>
      <c r="D4" s="40">
        <v>27232145809</v>
      </c>
      <c r="E4" s="12" t="s">
        <v>313</v>
      </c>
      <c r="F4" s="79"/>
      <c r="G4" s="17"/>
      <c r="H4" s="21"/>
      <c r="I4" s="32" t="s">
        <v>207</v>
      </c>
      <c r="J4" s="23" t="s">
        <v>12</v>
      </c>
      <c r="K4" s="16" t="s">
        <v>239</v>
      </c>
      <c r="L4" s="22" t="s">
        <v>18</v>
      </c>
      <c r="M4" s="22" t="s">
        <v>234</v>
      </c>
      <c r="N4" s="21">
        <v>8300</v>
      </c>
      <c r="O4" s="16" t="s">
        <v>5</v>
      </c>
      <c r="P4" s="16" t="s">
        <v>5</v>
      </c>
      <c r="Q4" s="18">
        <v>26786</v>
      </c>
      <c r="R4" s="21" t="s">
        <v>155</v>
      </c>
      <c r="S4" s="20" t="s">
        <v>202</v>
      </c>
      <c r="T4" s="33" t="e">
        <f>DATEDIF(Q4,#REF!,"Y")</f>
        <v>#REF!</v>
      </c>
      <c r="U4" s="17" t="e">
        <f>DATEDIF(F4,#REF!,"MD")</f>
        <v>#REF!</v>
      </c>
      <c r="V4" s="17" t="e">
        <f>DATEDIF(F4,#REF!,"YM")</f>
        <v>#REF!</v>
      </c>
      <c r="W4" s="17" t="e">
        <f>DATEDIF(F4,#REF!,"Y")</f>
        <v>#REF!</v>
      </c>
      <c r="X4" s="16"/>
      <c r="Y4" s="16"/>
      <c r="Z4" s="16" t="s">
        <v>15</v>
      </c>
    </row>
    <row r="5" spans="1:28" s="12" customFormat="1" ht="15" customHeight="1" x14ac:dyDescent="0.35">
      <c r="A5" s="125">
        <v>42804</v>
      </c>
      <c r="B5" s="111">
        <v>119</v>
      </c>
      <c r="C5" s="112" t="s">
        <v>257</v>
      </c>
      <c r="D5" s="113">
        <v>20276460537</v>
      </c>
      <c r="E5" s="12" t="s">
        <v>100</v>
      </c>
      <c r="F5" s="114">
        <v>42705</v>
      </c>
      <c r="G5" s="115" t="e">
        <f>DATEDIF(F5,#REF!,"Y")</f>
        <v>#REF!</v>
      </c>
      <c r="H5" s="116">
        <v>127901</v>
      </c>
      <c r="I5" s="117" t="s">
        <v>208</v>
      </c>
      <c r="J5" s="118" t="s">
        <v>25</v>
      </c>
      <c r="K5" s="119" t="s">
        <v>26</v>
      </c>
      <c r="L5" s="120" t="s">
        <v>43</v>
      </c>
      <c r="M5" s="120" t="s">
        <v>258</v>
      </c>
      <c r="N5" s="116">
        <v>5500</v>
      </c>
      <c r="O5" s="119" t="s">
        <v>259</v>
      </c>
      <c r="P5" s="119" t="s">
        <v>260</v>
      </c>
      <c r="Q5" s="121">
        <v>29107</v>
      </c>
      <c r="R5" s="116" t="s">
        <v>261</v>
      </c>
      <c r="S5" s="122" t="s">
        <v>201</v>
      </c>
      <c r="T5" s="33" t="e">
        <f>DATEDIF(Q5,#REF!,"Y")</f>
        <v>#REF!</v>
      </c>
      <c r="U5" s="115" t="e">
        <f>DATEDIF(F5,#REF!,"MD")</f>
        <v>#REF!</v>
      </c>
      <c r="V5" s="115" t="e">
        <f>DATEDIF(F5,#REF!,"YM")</f>
        <v>#REF!</v>
      </c>
      <c r="W5" s="115" t="e">
        <f>DATEDIF(F5,#REF!,"Y")</f>
        <v>#REF!</v>
      </c>
      <c r="X5" s="119" t="s">
        <v>98</v>
      </c>
      <c r="Y5" s="119" t="s">
        <v>98</v>
      </c>
      <c r="Z5" s="119" t="s">
        <v>216</v>
      </c>
      <c r="AA5" s="119"/>
      <c r="AB5" s="119"/>
    </row>
    <row r="6" spans="1:28" s="12" customFormat="1" ht="15" customHeight="1" x14ac:dyDescent="0.35">
      <c r="A6" s="172">
        <v>42811</v>
      </c>
      <c r="B6" s="27">
        <v>115</v>
      </c>
      <c r="C6" s="24" t="s">
        <v>212</v>
      </c>
      <c r="D6" s="40">
        <v>20358858253</v>
      </c>
      <c r="E6" s="12" t="s">
        <v>100</v>
      </c>
      <c r="F6" s="79">
        <v>42756</v>
      </c>
      <c r="G6" s="17" t="e">
        <f>DATEDIF(F6,#REF!,"Y")</f>
        <v>#REF!</v>
      </c>
      <c r="H6" s="21">
        <v>127901</v>
      </c>
      <c r="I6" s="32" t="s">
        <v>208</v>
      </c>
      <c r="J6" s="23" t="s">
        <v>25</v>
      </c>
      <c r="K6" s="16" t="s">
        <v>95</v>
      </c>
      <c r="L6" s="22" t="s">
        <v>219</v>
      </c>
      <c r="M6" s="22" t="s">
        <v>213</v>
      </c>
      <c r="N6" s="21">
        <v>8319</v>
      </c>
      <c r="O6" s="16" t="s">
        <v>214</v>
      </c>
      <c r="P6" s="16" t="s">
        <v>5</v>
      </c>
      <c r="Q6" s="18">
        <v>33072</v>
      </c>
      <c r="R6" s="21" t="s">
        <v>218</v>
      </c>
      <c r="S6" s="20" t="s">
        <v>200</v>
      </c>
      <c r="T6" s="33" t="e">
        <f>DATEDIF(Q6,#REF!,"Y")</f>
        <v>#REF!</v>
      </c>
      <c r="U6" s="17" t="e">
        <f>DATEDIF(F6,#REF!,"MD")</f>
        <v>#REF!</v>
      </c>
      <c r="V6" s="17" t="e">
        <f>DATEDIF(F6,#REF!,"YM")</f>
        <v>#REF!</v>
      </c>
      <c r="W6" s="17" t="e">
        <f>DATEDIF(F6,#REF!,"Y")</f>
        <v>#REF!</v>
      </c>
      <c r="X6" s="16" t="s">
        <v>98</v>
      </c>
      <c r="Y6" s="16" t="s">
        <v>98</v>
      </c>
      <c r="Z6" s="16" t="s">
        <v>216</v>
      </c>
      <c r="AA6" s="16"/>
      <c r="AB6" s="16"/>
    </row>
    <row r="7" spans="1:28" s="12" customFormat="1" ht="15.75" customHeight="1" x14ac:dyDescent="0.35">
      <c r="A7" s="125">
        <v>42836</v>
      </c>
      <c r="B7" s="27">
        <v>110</v>
      </c>
      <c r="C7" s="24" t="s">
        <v>162</v>
      </c>
      <c r="D7" s="40">
        <v>27311942986</v>
      </c>
      <c r="E7" s="12" t="s">
        <v>100</v>
      </c>
      <c r="F7" s="79"/>
      <c r="G7" s="17"/>
      <c r="H7" s="21"/>
      <c r="I7" s="32" t="s">
        <v>207</v>
      </c>
      <c r="J7" s="16" t="s">
        <v>12</v>
      </c>
      <c r="K7" s="16" t="s">
        <v>239</v>
      </c>
      <c r="L7" s="22" t="s">
        <v>75</v>
      </c>
      <c r="M7" s="22" t="s">
        <v>253</v>
      </c>
      <c r="N7" s="21">
        <v>8300</v>
      </c>
      <c r="O7" s="16" t="s">
        <v>5</v>
      </c>
      <c r="P7" s="16" t="s">
        <v>5</v>
      </c>
      <c r="Q7" s="18">
        <v>31040</v>
      </c>
      <c r="R7" s="21" t="s">
        <v>243</v>
      </c>
      <c r="S7" s="20" t="s">
        <v>201</v>
      </c>
      <c r="T7" s="33" t="e">
        <f>DATEDIF(Q7,#REF!,"Y")</f>
        <v>#REF!</v>
      </c>
      <c r="U7" s="17" t="e">
        <f>DATEDIF(F7,#REF!,"MD")</f>
        <v>#REF!</v>
      </c>
      <c r="V7" s="17" t="e">
        <f>DATEDIF(F7,#REF!,"YM")</f>
        <v>#REF!</v>
      </c>
      <c r="W7" s="17" t="e">
        <f>DATEDIF(F7,#REF!,"Y")</f>
        <v>#REF!</v>
      </c>
      <c r="X7" s="16"/>
      <c r="Y7" s="16"/>
      <c r="Z7" s="16" t="s">
        <v>15</v>
      </c>
    </row>
    <row r="8" spans="1:28" s="12" customFormat="1" ht="15" customHeight="1" x14ac:dyDescent="0.35">
      <c r="A8" s="125">
        <v>42901</v>
      </c>
      <c r="B8" s="27">
        <v>13</v>
      </c>
      <c r="C8" s="24" t="s">
        <v>229</v>
      </c>
      <c r="D8" s="19">
        <v>33673216</v>
      </c>
      <c r="E8" s="40">
        <v>20336732167</v>
      </c>
      <c r="F8" s="79">
        <v>42892</v>
      </c>
      <c r="G8" s="17" t="e">
        <f>DATEDIF(F8,#REF!,"Y")</f>
        <v>#REF!</v>
      </c>
      <c r="H8" s="21">
        <v>127901</v>
      </c>
      <c r="I8" s="32" t="s">
        <v>208</v>
      </c>
      <c r="J8" s="23" t="s">
        <v>25</v>
      </c>
      <c r="K8" s="16" t="s">
        <v>117</v>
      </c>
      <c r="L8" s="22" t="s">
        <v>242</v>
      </c>
      <c r="M8" s="22" t="s">
        <v>240</v>
      </c>
      <c r="N8" s="21">
        <v>8316</v>
      </c>
      <c r="O8" s="16" t="s">
        <v>4</v>
      </c>
      <c r="P8" s="16" t="s">
        <v>5</v>
      </c>
      <c r="Q8" s="18">
        <v>32270</v>
      </c>
      <c r="R8" s="21" t="s">
        <v>249</v>
      </c>
      <c r="S8" s="20" t="s">
        <v>245</v>
      </c>
      <c r="T8" s="33" t="e">
        <f>DATEDIF(Q8,#REF!,"Y")</f>
        <v>#REF!</v>
      </c>
      <c r="U8" s="17" t="e">
        <f>DATEDIF(F8,#REF!,"MD")</f>
        <v>#REF!</v>
      </c>
      <c r="V8" s="17" t="e">
        <f>DATEDIF(F8,#REF!,"YM")</f>
        <v>#REF!</v>
      </c>
      <c r="W8" s="17" t="e">
        <f>DATEDIF(F8,#REF!,"Y")</f>
        <v>#REF!</v>
      </c>
      <c r="X8" s="16"/>
      <c r="Y8" s="16"/>
      <c r="Z8" s="16" t="s">
        <v>216</v>
      </c>
      <c r="AA8" s="16"/>
      <c r="AB8" s="16"/>
    </row>
    <row r="9" spans="1:28" ht="15.75" customHeight="1" x14ac:dyDescent="0.35">
      <c r="A9" s="1"/>
      <c r="B9" s="11"/>
      <c r="C9" s="6"/>
      <c r="D9" s="7"/>
      <c r="E9" s="6"/>
      <c r="F9" s="6"/>
      <c r="G9" s="5"/>
      <c r="H9" s="8"/>
      <c r="I9" s="7"/>
      <c r="J9" s="6"/>
      <c r="K9" s="10"/>
      <c r="L9" s="9"/>
      <c r="M9" s="7"/>
      <c r="N9" s="6"/>
      <c r="O9" s="6"/>
      <c r="P9" s="6"/>
      <c r="Q9" s="6"/>
      <c r="R9" s="6"/>
      <c r="S9" s="6"/>
    </row>
    <row r="10" spans="1:28" ht="15.75" customHeight="1" x14ac:dyDescent="0.35">
      <c r="A10" s="1"/>
      <c r="B10" s="11"/>
      <c r="C10" s="6"/>
      <c r="D10" s="7"/>
      <c r="E10" s="6"/>
      <c r="F10" s="6"/>
      <c r="G10" s="5"/>
      <c r="H10" s="8"/>
      <c r="I10" s="7"/>
      <c r="J10" s="6"/>
      <c r="K10" s="10"/>
      <c r="L10" s="9"/>
      <c r="M10" s="7"/>
      <c r="N10" s="6"/>
      <c r="O10" s="6"/>
      <c r="P10" s="6"/>
      <c r="Q10" s="6"/>
      <c r="R10" s="6"/>
      <c r="S10" s="6"/>
    </row>
    <row r="11" spans="1:28" ht="15.75" customHeight="1" x14ac:dyDescent="0.35">
      <c r="A11" s="1"/>
    </row>
    <row r="12" spans="1:28" ht="15.75" customHeight="1" x14ac:dyDescent="0.35">
      <c r="A12" s="1"/>
    </row>
    <row r="13" spans="1:28" ht="15.75" customHeight="1" x14ac:dyDescent="0.35">
      <c r="A13" s="1"/>
    </row>
    <row r="14" spans="1:28" ht="15.75" customHeight="1" x14ac:dyDescent="0.35">
      <c r="A14" s="1"/>
    </row>
    <row r="15" spans="1:28" ht="15.75" customHeight="1" x14ac:dyDescent="0.35">
      <c r="A15" s="1"/>
    </row>
    <row r="16" spans="1:28" ht="15.75" customHeight="1" x14ac:dyDescent="0.35">
      <c r="A16" s="1"/>
    </row>
    <row r="17" spans="1:1" ht="15.75" customHeight="1" x14ac:dyDescent="0.35">
      <c r="A17" s="1"/>
    </row>
    <row r="18" spans="1:1" ht="15.75" customHeight="1" x14ac:dyDescent="0.35">
      <c r="A18" s="1"/>
    </row>
    <row r="19" spans="1:1" ht="15.75" customHeight="1" x14ac:dyDescent="0.35">
      <c r="A19" s="1"/>
    </row>
    <row r="20" spans="1:1" ht="15.75" customHeight="1" x14ac:dyDescent="0.35">
      <c r="A20" s="1"/>
    </row>
    <row r="21" spans="1:1" ht="15.75" customHeight="1" x14ac:dyDescent="0.35">
      <c r="A21" s="1"/>
    </row>
    <row r="22" spans="1:1" ht="15.75" customHeight="1" x14ac:dyDescent="0.35">
      <c r="A22" s="1"/>
    </row>
    <row r="23" spans="1:1" ht="15.75" customHeight="1" x14ac:dyDescent="0.35">
      <c r="A23" s="1"/>
    </row>
    <row r="24" spans="1:1" ht="15.75" customHeight="1" x14ac:dyDescent="0.35">
      <c r="A24" s="1"/>
    </row>
    <row r="25" spans="1:1" ht="15.75" customHeight="1" x14ac:dyDescent="0.35">
      <c r="A25" s="1"/>
    </row>
    <row r="26" spans="1:1" ht="15.75" customHeight="1" x14ac:dyDescent="0.35">
      <c r="A26" s="1"/>
    </row>
    <row r="27" spans="1:1" ht="15.75" customHeight="1" x14ac:dyDescent="0.35">
      <c r="A27" s="1"/>
    </row>
    <row r="28" spans="1:1" ht="15.75" customHeight="1" x14ac:dyDescent="0.35">
      <c r="A28" s="1"/>
    </row>
    <row r="29" spans="1:1" ht="15.75" customHeight="1" x14ac:dyDescent="0.35">
      <c r="A29" s="1"/>
    </row>
  </sheetData>
  <mergeCells count="24">
    <mergeCell ref="Z2:Z3"/>
    <mergeCell ref="M2:M3"/>
    <mergeCell ref="N2:N3"/>
    <mergeCell ref="O2:O3"/>
    <mergeCell ref="P2:P3"/>
    <mergeCell ref="Q2:Q3"/>
    <mergeCell ref="R2:R3"/>
    <mergeCell ref="S2:S3"/>
    <mergeCell ref="T2:T3"/>
    <mergeCell ref="U2:W2"/>
    <mergeCell ref="X2:X3"/>
    <mergeCell ref="Y2:Y3"/>
    <mergeCell ref="L2:L3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</mergeCells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</sheetPr>
  <dimension ref="A1:AA35"/>
  <sheetViews>
    <sheetView zoomScaleNormal="100" workbookViewId="0">
      <pane ySplit="3" topLeftCell="A4" activePane="bottomLeft" state="frozen"/>
      <selection pane="bottomLeft" activeCell="C19" sqref="C19"/>
    </sheetView>
  </sheetViews>
  <sheetFormatPr baseColWidth="10" defaultColWidth="11.69140625" defaultRowHeight="15.75" customHeight="1" x14ac:dyDescent="0.35"/>
  <cols>
    <col min="1" max="1" width="8.3046875" style="2" bestFit="1" customWidth="1"/>
    <col min="2" max="2" width="3.84375" style="2" bestFit="1" customWidth="1"/>
    <col min="3" max="3" width="23.765625" style="2" bestFit="1" customWidth="1"/>
    <col min="4" max="4" width="9.3046875" style="2" bestFit="1" customWidth="1"/>
    <col min="5" max="5" width="15.23046875" style="2" customWidth="1"/>
    <col min="6" max="6" width="9" style="2" customWidth="1"/>
    <col min="7" max="7" width="8.3046875" style="2" bestFit="1" customWidth="1"/>
    <col min="8" max="8" width="11.69140625" style="3"/>
    <col min="9" max="9" width="9" style="4" bestFit="1" customWidth="1"/>
    <col min="10" max="10" width="13" style="2" bestFit="1" customWidth="1"/>
    <col min="11" max="11" width="27.3046875" style="4" bestFit="1" customWidth="1"/>
    <col min="12" max="12" width="3.84375" style="3" bestFit="1" customWidth="1"/>
    <col min="13" max="13" width="10.4609375" style="4" bestFit="1" customWidth="1"/>
    <col min="14" max="14" width="8.23046875" style="2" bestFit="1" customWidth="1"/>
    <col min="15" max="15" width="9" style="2" bestFit="1" customWidth="1"/>
    <col min="16" max="16" width="8.23046875" style="2" bestFit="1" customWidth="1"/>
    <col min="17" max="17" width="5.84375" style="2" bestFit="1" customWidth="1"/>
    <col min="18" max="18" width="4.4609375" style="2" bestFit="1" customWidth="1"/>
    <col min="19" max="20" width="11.69140625" style="2"/>
    <col min="21" max="21" width="5.84375" style="2" bestFit="1" customWidth="1"/>
    <col min="22" max="23" width="3.84375" style="2" customWidth="1"/>
    <col min="24" max="16384" width="11.69140625" style="2"/>
  </cols>
  <sheetData>
    <row r="1" spans="1:27" ht="15.75" customHeight="1" thickBot="1" x14ac:dyDescent="0.4"/>
    <row r="2" spans="1:27" ht="15.75" customHeight="1" thickBot="1" x14ac:dyDescent="0.4">
      <c r="A2" s="502" t="s">
        <v>93</v>
      </c>
      <c r="B2" s="502" t="s">
        <v>10</v>
      </c>
      <c r="C2" s="502" t="s">
        <v>6</v>
      </c>
      <c r="D2" s="502" t="s">
        <v>0</v>
      </c>
      <c r="E2" s="502" t="s">
        <v>103</v>
      </c>
      <c r="F2" s="502" t="s">
        <v>104</v>
      </c>
      <c r="G2" s="502" t="s">
        <v>112</v>
      </c>
      <c r="H2" s="502" t="s">
        <v>192</v>
      </c>
      <c r="I2" s="502" t="s">
        <v>185</v>
      </c>
      <c r="J2" s="502" t="s">
        <v>176</v>
      </c>
      <c r="K2" s="502" t="s">
        <v>186</v>
      </c>
      <c r="L2" s="502" t="s">
        <v>8</v>
      </c>
      <c r="M2" s="502" t="s">
        <v>1</v>
      </c>
      <c r="N2" s="502" t="s">
        <v>177</v>
      </c>
      <c r="O2" s="502" t="s">
        <v>178</v>
      </c>
      <c r="P2" s="502" t="s">
        <v>191</v>
      </c>
      <c r="Q2" s="502" t="s">
        <v>190</v>
      </c>
      <c r="R2" s="502" t="s">
        <v>179</v>
      </c>
      <c r="S2" s="502" t="s">
        <v>180</v>
      </c>
      <c r="T2" s="502" t="s">
        <v>181</v>
      </c>
      <c r="U2" s="502" t="s">
        <v>182</v>
      </c>
      <c r="V2" s="502"/>
      <c r="W2" s="502"/>
      <c r="X2" s="502" t="s">
        <v>22</v>
      </c>
      <c r="Y2" s="502" t="s">
        <v>23</v>
      </c>
      <c r="Z2" s="502" t="s">
        <v>9</v>
      </c>
    </row>
    <row r="3" spans="1:27" ht="15.75" customHeight="1" thickBot="1" x14ac:dyDescent="0.4">
      <c r="A3" s="502"/>
      <c r="B3" s="502"/>
      <c r="C3" s="502"/>
      <c r="D3" s="502"/>
      <c r="E3" s="502"/>
      <c r="F3" s="502"/>
      <c r="G3" s="502"/>
      <c r="H3" s="502"/>
      <c r="I3" s="502"/>
      <c r="J3" s="502"/>
      <c r="K3" s="502"/>
      <c r="L3" s="502"/>
      <c r="M3" s="502"/>
      <c r="N3" s="502"/>
      <c r="O3" s="502"/>
      <c r="P3" s="502"/>
      <c r="Q3" s="502"/>
      <c r="R3" s="502"/>
      <c r="S3" s="502"/>
      <c r="T3" s="502"/>
      <c r="U3" s="50" t="s">
        <v>187</v>
      </c>
      <c r="V3" s="50" t="s">
        <v>188</v>
      </c>
      <c r="W3" s="50" t="s">
        <v>189</v>
      </c>
      <c r="X3" s="502"/>
      <c r="Y3" s="502"/>
      <c r="Z3" s="502"/>
    </row>
    <row r="4" spans="1:27" s="6" customFormat="1" ht="15.75" customHeight="1" x14ac:dyDescent="0.35">
      <c r="A4" s="1">
        <v>42401</v>
      </c>
      <c r="B4" s="45">
        <v>90</v>
      </c>
      <c r="C4" s="46" t="s">
        <v>46</v>
      </c>
      <c r="D4" s="36">
        <v>20301749695</v>
      </c>
      <c r="E4" s="47" t="s">
        <v>100</v>
      </c>
      <c r="F4" s="48" t="s">
        <v>102</v>
      </c>
      <c r="G4" s="38">
        <v>41806</v>
      </c>
      <c r="H4" s="34" t="s">
        <v>25</v>
      </c>
      <c r="I4" s="37" t="s">
        <v>81</v>
      </c>
      <c r="J4" s="35" t="s">
        <v>209</v>
      </c>
      <c r="K4" s="35" t="s">
        <v>47</v>
      </c>
      <c r="L4" s="36">
        <v>8316</v>
      </c>
      <c r="M4" s="37" t="s">
        <v>4</v>
      </c>
      <c r="N4" s="37" t="s">
        <v>5</v>
      </c>
      <c r="O4" s="36" t="s">
        <v>157</v>
      </c>
      <c r="P4" s="49" t="s">
        <v>200</v>
      </c>
      <c r="Q4" s="33" t="e">
        <f>INT((DAYS360(S4,#REF!))/360)</f>
        <v>#REF!</v>
      </c>
      <c r="R4" s="39">
        <f>DATEDIF(T4,$A$7,"Y")</f>
        <v>1</v>
      </c>
      <c r="S4" s="38">
        <v>30517</v>
      </c>
      <c r="T4" s="38">
        <v>41806</v>
      </c>
      <c r="U4" s="39">
        <f t="shared" ref="U4:U9" si="0">DATEDIF(T4,A4,"MD")</f>
        <v>16</v>
      </c>
      <c r="V4" s="39">
        <f t="shared" ref="V4:V10" si="1">DATEDIF(T4,A4,"YM")</f>
        <v>7</v>
      </c>
      <c r="W4" s="39">
        <f t="shared" ref="W4:W9" si="2">DATEDIF(T4,A4,"Y")</f>
        <v>1</v>
      </c>
      <c r="X4" s="37" t="s">
        <v>98</v>
      </c>
      <c r="Y4" s="37" t="s">
        <v>98</v>
      </c>
      <c r="Z4" s="37" t="s">
        <v>15</v>
      </c>
    </row>
    <row r="5" spans="1:27" s="6" customFormat="1" ht="15.75" customHeight="1" x14ac:dyDescent="0.35">
      <c r="A5" s="1">
        <v>42413</v>
      </c>
      <c r="B5" s="27">
        <v>113</v>
      </c>
      <c r="C5" s="24" t="s">
        <v>171</v>
      </c>
      <c r="D5" s="21">
        <v>20281057856</v>
      </c>
      <c r="E5" s="42" t="s">
        <v>101</v>
      </c>
      <c r="F5" s="40" t="s">
        <v>102</v>
      </c>
      <c r="G5" s="18">
        <v>42326</v>
      </c>
      <c r="H5" s="23" t="s">
        <v>25</v>
      </c>
      <c r="I5" s="16" t="s">
        <v>26</v>
      </c>
      <c r="J5" s="22" t="s">
        <v>43</v>
      </c>
      <c r="K5" s="22" t="s">
        <v>169</v>
      </c>
      <c r="L5" s="21">
        <v>8324</v>
      </c>
      <c r="M5" s="16" t="s">
        <v>2</v>
      </c>
      <c r="N5" s="16" t="s">
        <v>3</v>
      </c>
      <c r="O5" s="21" t="s">
        <v>170</v>
      </c>
      <c r="P5" s="20" t="s">
        <v>200</v>
      </c>
      <c r="Q5" s="19" t="e">
        <f>INT((DAYS360(S5,#REF!))/360)</f>
        <v>#REF!</v>
      </c>
      <c r="R5" s="39">
        <f>DATEDIF(T5,$A$7,"Y")</f>
        <v>0</v>
      </c>
      <c r="S5" s="18">
        <v>29337</v>
      </c>
      <c r="T5" s="18">
        <v>42326</v>
      </c>
      <c r="U5" s="39">
        <f t="shared" si="0"/>
        <v>26</v>
      </c>
      <c r="V5" s="39">
        <f t="shared" si="1"/>
        <v>2</v>
      </c>
      <c r="W5" s="39">
        <f t="shared" si="2"/>
        <v>0</v>
      </c>
      <c r="X5" s="21" t="s">
        <v>11</v>
      </c>
      <c r="Y5" s="21" t="s">
        <v>11</v>
      </c>
      <c r="Z5" s="16" t="s">
        <v>15</v>
      </c>
    </row>
    <row r="6" spans="1:27" s="12" customFormat="1" ht="15" customHeight="1" x14ac:dyDescent="0.35">
      <c r="A6" s="1">
        <v>42418</v>
      </c>
      <c r="B6" s="27">
        <v>112</v>
      </c>
      <c r="C6" s="24" t="s">
        <v>166</v>
      </c>
      <c r="D6" s="21">
        <v>24320218132</v>
      </c>
      <c r="E6" s="42" t="s">
        <v>101</v>
      </c>
      <c r="F6" s="40" t="s">
        <v>102</v>
      </c>
      <c r="G6" s="18">
        <v>42326</v>
      </c>
      <c r="H6" s="23" t="s">
        <v>25</v>
      </c>
      <c r="I6" s="16" t="s">
        <v>26</v>
      </c>
      <c r="J6" s="22" t="s">
        <v>43</v>
      </c>
      <c r="K6" s="22" t="s">
        <v>167</v>
      </c>
      <c r="L6" s="21">
        <v>8316</v>
      </c>
      <c r="M6" s="16" t="s">
        <v>4</v>
      </c>
      <c r="N6" s="16" t="s">
        <v>5</v>
      </c>
      <c r="O6" s="21" t="s">
        <v>168</v>
      </c>
      <c r="P6" s="20" t="s">
        <v>200</v>
      </c>
      <c r="Q6" s="19" t="e">
        <f>INT((DAYS360(S6,#REF!))/360)</f>
        <v>#REF!</v>
      </c>
      <c r="R6" s="39">
        <f>DATEDIF(T6,A6,"Y")</f>
        <v>0</v>
      </c>
      <c r="S6" s="18">
        <v>31473</v>
      </c>
      <c r="T6" s="18">
        <v>42326</v>
      </c>
      <c r="U6" s="39">
        <f t="shared" si="0"/>
        <v>0</v>
      </c>
      <c r="V6" s="39">
        <f t="shared" si="1"/>
        <v>3</v>
      </c>
      <c r="W6" s="39">
        <f t="shared" si="2"/>
        <v>0</v>
      </c>
      <c r="X6" s="21" t="s">
        <v>11</v>
      </c>
      <c r="Y6" s="21" t="s">
        <v>11</v>
      </c>
      <c r="Z6" s="16" t="s">
        <v>15</v>
      </c>
    </row>
    <row r="7" spans="1:27" s="6" customFormat="1" ht="15.75" customHeight="1" x14ac:dyDescent="0.35">
      <c r="A7" s="1">
        <v>42517</v>
      </c>
      <c r="B7" s="27">
        <v>8</v>
      </c>
      <c r="C7" s="24" t="s">
        <v>34</v>
      </c>
      <c r="D7" s="21">
        <v>20188795928</v>
      </c>
      <c r="E7" s="41" t="s">
        <v>100</v>
      </c>
      <c r="F7" s="40" t="s">
        <v>102</v>
      </c>
      <c r="G7" s="18">
        <v>41430</v>
      </c>
      <c r="H7" s="23" t="s">
        <v>12</v>
      </c>
      <c r="I7" s="16" t="s">
        <v>35</v>
      </c>
      <c r="J7" s="22" t="s">
        <v>35</v>
      </c>
      <c r="K7" s="22" t="s">
        <v>36</v>
      </c>
      <c r="L7" s="21">
        <v>8307</v>
      </c>
      <c r="M7" s="16" t="s">
        <v>37</v>
      </c>
      <c r="N7" s="16" t="s">
        <v>3</v>
      </c>
      <c r="O7" s="21" t="s">
        <v>152</v>
      </c>
      <c r="P7" s="31" t="s">
        <v>200</v>
      </c>
      <c r="Q7" s="19" t="e">
        <f>INT((DAYS360(S7,#REF!))/360)</f>
        <v>#REF!</v>
      </c>
      <c r="R7" s="39">
        <f>DATEDIF(T7,A7,"Y")</f>
        <v>2</v>
      </c>
      <c r="S7" s="18">
        <v>27137</v>
      </c>
      <c r="T7" s="18">
        <v>41430</v>
      </c>
      <c r="U7" s="39">
        <f t="shared" si="0"/>
        <v>22</v>
      </c>
      <c r="V7" s="39">
        <f t="shared" si="1"/>
        <v>11</v>
      </c>
      <c r="W7" s="39">
        <f t="shared" si="2"/>
        <v>2</v>
      </c>
      <c r="X7" s="16" t="s">
        <v>225</v>
      </c>
      <c r="Y7" s="16" t="s">
        <v>225</v>
      </c>
      <c r="Z7" s="16" t="s">
        <v>15</v>
      </c>
      <c r="AA7" s="12"/>
    </row>
    <row r="8" spans="1:27" s="6" customFormat="1" ht="15.75" customHeight="1" x14ac:dyDescent="0.35">
      <c r="A8" s="1">
        <v>42521</v>
      </c>
      <c r="B8" s="27">
        <v>111</v>
      </c>
      <c r="C8" s="24" t="s">
        <v>205</v>
      </c>
      <c r="D8" s="21">
        <v>20162843649</v>
      </c>
      <c r="E8" s="41" t="s">
        <v>100</v>
      </c>
      <c r="F8" s="40" t="s">
        <v>102</v>
      </c>
      <c r="G8" s="18">
        <v>42324</v>
      </c>
      <c r="H8" s="16" t="s">
        <v>12</v>
      </c>
      <c r="I8" s="16" t="s">
        <v>172</v>
      </c>
      <c r="J8" s="22" t="s">
        <v>172</v>
      </c>
      <c r="K8" s="22" t="s">
        <v>164</v>
      </c>
      <c r="L8" s="21">
        <v>8300</v>
      </c>
      <c r="M8" s="16" t="s">
        <v>5</v>
      </c>
      <c r="N8" s="16" t="s">
        <v>5</v>
      </c>
      <c r="O8" s="25" t="s">
        <v>165</v>
      </c>
      <c r="P8" s="20" t="s">
        <v>204</v>
      </c>
      <c r="Q8" s="19" t="e">
        <f>INT((DAYS360(S8,#REF!))/360)</f>
        <v>#REF!</v>
      </c>
      <c r="R8" s="39">
        <f>DATEDIF(T8,A8,"Y")</f>
        <v>0</v>
      </c>
      <c r="S8" s="18">
        <v>23095</v>
      </c>
      <c r="T8" s="18">
        <v>42324</v>
      </c>
      <c r="U8" s="39">
        <f t="shared" si="0"/>
        <v>15</v>
      </c>
      <c r="V8" s="39">
        <f t="shared" si="1"/>
        <v>6</v>
      </c>
      <c r="W8" s="39">
        <f t="shared" si="2"/>
        <v>0</v>
      </c>
      <c r="X8" s="16"/>
      <c r="Y8" s="16"/>
      <c r="Z8" s="16" t="s">
        <v>31</v>
      </c>
      <c r="AA8" s="5"/>
    </row>
    <row r="9" spans="1:27" s="6" customFormat="1" ht="15.75" customHeight="1" x14ac:dyDescent="0.35">
      <c r="A9" s="1">
        <v>42585</v>
      </c>
      <c r="B9" s="27">
        <v>107</v>
      </c>
      <c r="C9" s="24" t="s">
        <v>145</v>
      </c>
      <c r="D9" s="21">
        <v>23285502519</v>
      </c>
      <c r="E9" s="41" t="s">
        <v>100</v>
      </c>
      <c r="F9" s="40" t="s">
        <v>102</v>
      </c>
      <c r="G9" s="18">
        <v>42195</v>
      </c>
      <c r="H9" s="23" t="s">
        <v>25</v>
      </c>
      <c r="I9" s="16" t="s">
        <v>69</v>
      </c>
      <c r="J9" s="22" t="s">
        <v>226</v>
      </c>
      <c r="K9" s="22" t="s">
        <v>163</v>
      </c>
      <c r="L9" s="21">
        <v>8300</v>
      </c>
      <c r="M9" s="16" t="s">
        <v>5</v>
      </c>
      <c r="N9" s="16" t="s">
        <v>5</v>
      </c>
      <c r="O9" s="21" t="s">
        <v>241</v>
      </c>
      <c r="P9" s="20" t="s">
        <v>200</v>
      </c>
      <c r="Q9" s="19" t="e">
        <f>INT((DAYS360(S9,#REF!))/360)</f>
        <v>#REF!</v>
      </c>
      <c r="R9" s="39">
        <f>DATEDIF(T9,A9,"Y")</f>
        <v>1</v>
      </c>
      <c r="S9" s="18">
        <v>29610</v>
      </c>
      <c r="T9" s="18">
        <v>42195</v>
      </c>
      <c r="U9" s="39">
        <f t="shared" si="0"/>
        <v>24</v>
      </c>
      <c r="V9" s="39">
        <f t="shared" si="1"/>
        <v>0</v>
      </c>
      <c r="W9" s="39">
        <f t="shared" si="2"/>
        <v>1</v>
      </c>
      <c r="X9" s="16" t="s">
        <v>98</v>
      </c>
      <c r="Y9" s="16" t="s">
        <v>98</v>
      </c>
      <c r="Z9" s="16" t="s">
        <v>15</v>
      </c>
    </row>
    <row r="10" spans="1:27" s="6" customFormat="1" ht="15.75" customHeight="1" x14ac:dyDescent="0.35">
      <c r="A10" s="1">
        <v>42621</v>
      </c>
      <c r="B10" s="27">
        <v>94</v>
      </c>
      <c r="C10" s="42" t="s">
        <v>246</v>
      </c>
      <c r="D10" s="21">
        <v>23361505409</v>
      </c>
      <c r="E10" s="41" t="s">
        <v>100</v>
      </c>
      <c r="F10" s="21"/>
      <c r="G10" s="32">
        <v>42614</v>
      </c>
      <c r="H10" s="23" t="s">
        <v>25</v>
      </c>
      <c r="I10" s="16" t="s">
        <v>95</v>
      </c>
      <c r="J10" s="22" t="s">
        <v>248</v>
      </c>
      <c r="K10" s="22" t="s">
        <v>244</v>
      </c>
      <c r="L10" s="21">
        <v>8300</v>
      </c>
      <c r="M10" s="16" t="s">
        <v>5</v>
      </c>
      <c r="N10" s="16" t="s">
        <v>5</v>
      </c>
      <c r="O10" s="21" t="s">
        <v>247</v>
      </c>
      <c r="P10" s="20" t="s">
        <v>245</v>
      </c>
      <c r="Q10" s="19" t="e">
        <f>INT((DAYS360(S10,#REF!))/360)</f>
        <v>#REF!</v>
      </c>
      <c r="R10" s="39">
        <f>DATEDIF(T10,A10,"Y")</f>
        <v>0</v>
      </c>
      <c r="S10" s="18">
        <v>33324</v>
      </c>
      <c r="T10" s="18">
        <v>42614</v>
      </c>
      <c r="U10" s="39">
        <f>DATEDIF(T10,A10,"MD")</f>
        <v>7</v>
      </c>
      <c r="V10" s="39">
        <f t="shared" si="1"/>
        <v>0</v>
      </c>
      <c r="W10" s="39">
        <f>DATEDIF(T10,A10,"Y")</f>
        <v>0</v>
      </c>
      <c r="X10" s="16"/>
      <c r="Y10" s="16"/>
      <c r="Z10" s="16"/>
    </row>
    <row r="11" spans="1:27" s="6" customFormat="1" ht="15.75" customHeight="1" x14ac:dyDescent="0.35">
      <c r="A11" s="1"/>
      <c r="B11" s="11"/>
      <c r="D11" s="7"/>
      <c r="E11" s="9"/>
      <c r="G11" s="5"/>
      <c r="H11" s="7"/>
      <c r="I11" s="7"/>
      <c r="J11" s="10"/>
      <c r="K11" s="10"/>
      <c r="L11" s="9"/>
      <c r="M11" s="7"/>
    </row>
    <row r="12" spans="1:27" s="6" customFormat="1" ht="15.75" customHeight="1" x14ac:dyDescent="0.35">
      <c r="A12" s="1"/>
      <c r="B12" s="11"/>
      <c r="D12" s="7"/>
      <c r="E12" s="13"/>
      <c r="F12" s="14"/>
      <c r="G12" s="43"/>
      <c r="H12" s="8"/>
      <c r="I12" s="7"/>
      <c r="K12" s="10"/>
      <c r="L12" s="9"/>
      <c r="M12" s="7"/>
    </row>
    <row r="13" spans="1:27" ht="15.75" customHeight="1" x14ac:dyDescent="0.35">
      <c r="A13" s="1"/>
      <c r="B13" s="11"/>
      <c r="C13" s="6"/>
      <c r="D13" s="7"/>
      <c r="E13" s="9"/>
      <c r="F13" s="8"/>
      <c r="G13" s="5"/>
      <c r="H13" s="8"/>
      <c r="I13" s="7"/>
      <c r="J13" s="6"/>
      <c r="K13" s="10"/>
      <c r="L13" s="9"/>
      <c r="M13" s="7"/>
      <c r="N13" s="6"/>
      <c r="O13" s="6"/>
      <c r="P13" s="6"/>
      <c r="Q13" s="6"/>
      <c r="R13" s="6"/>
      <c r="S13" s="6"/>
      <c r="U13" s="6"/>
    </row>
    <row r="14" spans="1:27" ht="15.75" customHeight="1" x14ac:dyDescent="0.35">
      <c r="A14" s="1"/>
      <c r="B14" s="11"/>
      <c r="C14" s="6"/>
      <c r="D14" s="7"/>
      <c r="E14" s="6"/>
      <c r="F14" s="6"/>
      <c r="G14" s="5"/>
      <c r="H14" s="8"/>
      <c r="I14" s="7"/>
      <c r="J14" s="6"/>
      <c r="K14" s="10"/>
      <c r="L14" s="9"/>
      <c r="M14" s="7"/>
      <c r="N14" s="6"/>
      <c r="O14" s="6"/>
      <c r="P14" s="6"/>
      <c r="Q14" s="6"/>
      <c r="R14" s="6"/>
      <c r="S14" s="6"/>
      <c r="U14" s="6"/>
    </row>
    <row r="15" spans="1:27" ht="15.75" customHeight="1" x14ac:dyDescent="0.35">
      <c r="A15" s="1"/>
      <c r="B15" s="11"/>
      <c r="C15" s="6"/>
      <c r="D15" s="7"/>
      <c r="E15" s="6"/>
      <c r="F15" s="6"/>
      <c r="G15" s="5"/>
      <c r="H15" s="8"/>
      <c r="I15" s="7"/>
      <c r="J15" s="6"/>
      <c r="K15" s="10"/>
      <c r="L15" s="9"/>
      <c r="M15" s="7"/>
      <c r="N15" s="6"/>
      <c r="O15" s="6"/>
      <c r="P15" s="6"/>
      <c r="Q15" s="6"/>
      <c r="R15" s="6"/>
      <c r="S15" s="6"/>
    </row>
    <row r="16" spans="1:27" ht="15.75" customHeight="1" x14ac:dyDescent="0.35">
      <c r="A16" s="1"/>
      <c r="B16" s="11"/>
      <c r="C16" s="6"/>
      <c r="D16" s="7"/>
      <c r="E16" s="6"/>
      <c r="F16" s="6"/>
      <c r="G16" s="5"/>
      <c r="H16" s="8"/>
      <c r="I16" s="7"/>
      <c r="J16" s="6"/>
      <c r="K16" s="10"/>
      <c r="L16" s="9"/>
      <c r="M16" s="7"/>
      <c r="N16" s="6"/>
      <c r="O16" s="6"/>
      <c r="P16" s="6"/>
      <c r="Q16" s="6"/>
      <c r="R16" s="6"/>
      <c r="S16" s="6"/>
    </row>
    <row r="17" spans="1:1" ht="15.75" customHeight="1" x14ac:dyDescent="0.35">
      <c r="A17" s="1"/>
    </row>
    <row r="18" spans="1:1" ht="15.75" customHeight="1" x14ac:dyDescent="0.35">
      <c r="A18" s="1"/>
    </row>
    <row r="19" spans="1:1" ht="15.75" customHeight="1" x14ac:dyDescent="0.35">
      <c r="A19" s="1"/>
    </row>
    <row r="20" spans="1:1" ht="15.75" customHeight="1" x14ac:dyDescent="0.35">
      <c r="A20" s="1"/>
    </row>
    <row r="21" spans="1:1" ht="15.75" customHeight="1" x14ac:dyDescent="0.35">
      <c r="A21" s="1"/>
    </row>
    <row r="22" spans="1:1" ht="15.75" customHeight="1" x14ac:dyDescent="0.35">
      <c r="A22" s="1"/>
    </row>
    <row r="23" spans="1:1" ht="15.75" customHeight="1" x14ac:dyDescent="0.35">
      <c r="A23" s="1"/>
    </row>
    <row r="24" spans="1:1" ht="15.75" customHeight="1" x14ac:dyDescent="0.35">
      <c r="A24" s="1"/>
    </row>
    <row r="25" spans="1:1" ht="15.75" customHeight="1" x14ac:dyDescent="0.35">
      <c r="A25" s="1"/>
    </row>
    <row r="26" spans="1:1" ht="15.75" customHeight="1" x14ac:dyDescent="0.35">
      <c r="A26" s="1"/>
    </row>
    <row r="27" spans="1:1" ht="15.75" customHeight="1" x14ac:dyDescent="0.35">
      <c r="A27" s="1"/>
    </row>
    <row r="28" spans="1:1" ht="15.75" customHeight="1" x14ac:dyDescent="0.35">
      <c r="A28" s="1"/>
    </row>
    <row r="29" spans="1:1" ht="15.75" customHeight="1" x14ac:dyDescent="0.35">
      <c r="A29" s="1"/>
    </row>
    <row r="30" spans="1:1" ht="15.75" customHeight="1" x14ac:dyDescent="0.35">
      <c r="A30" s="1"/>
    </row>
    <row r="31" spans="1:1" ht="15.75" customHeight="1" x14ac:dyDescent="0.35">
      <c r="A31" s="1"/>
    </row>
    <row r="32" spans="1:1" ht="15.75" customHeight="1" x14ac:dyDescent="0.35">
      <c r="A32" s="1"/>
    </row>
    <row r="33" spans="1:1" ht="15.75" customHeight="1" x14ac:dyDescent="0.35">
      <c r="A33" s="1"/>
    </row>
    <row r="34" spans="1:1" ht="15.75" customHeight="1" x14ac:dyDescent="0.35">
      <c r="A34" s="1"/>
    </row>
    <row r="35" spans="1:1" ht="15.75" customHeight="1" x14ac:dyDescent="0.35">
      <c r="A35" s="1"/>
    </row>
  </sheetData>
  <customSheetViews>
    <customSheetView guid="{94CDC186-10C0-4483-96D9-E39804360A89}" scale="89">
      <pane ySplit="3" topLeftCell="A4" activePane="bottomLeft" state="frozen"/>
      <selection pane="bottomLeft" activeCell="A8" sqref="A8"/>
      <pageMargins left="0.7" right="0.7" top="0.75" bottom="0.75" header="0.3" footer="0.3"/>
      <pageSetup paperSize="9" orientation="portrait" r:id="rId1"/>
    </customSheetView>
  </customSheetViews>
  <mergeCells count="24">
    <mergeCell ref="P2:P3"/>
    <mergeCell ref="Q2:Q3"/>
    <mergeCell ref="M2:M3"/>
    <mergeCell ref="J2:J3"/>
    <mergeCell ref="K2:K3"/>
    <mergeCell ref="L2:L3"/>
    <mergeCell ref="N2:N3"/>
    <mergeCell ref="O2:O3"/>
    <mergeCell ref="Z2:Z3"/>
    <mergeCell ref="A2:A3"/>
    <mergeCell ref="B2:B3"/>
    <mergeCell ref="C2:C3"/>
    <mergeCell ref="D2:D3"/>
    <mergeCell ref="E2:E3"/>
    <mergeCell ref="F2:F3"/>
    <mergeCell ref="G2:G3"/>
    <mergeCell ref="R2:R3"/>
    <mergeCell ref="S2:S3"/>
    <mergeCell ref="T2:T3"/>
    <mergeCell ref="U2:W2"/>
    <mergeCell ref="X2:X3"/>
    <mergeCell ref="Y2:Y3"/>
    <mergeCell ref="H2:H3"/>
    <mergeCell ref="I2:I3"/>
  </mergeCells>
  <pageMargins left="0.7" right="0.7" top="0.75" bottom="0.75" header="0.3" footer="0.3"/>
  <pageSetup paperSize="9" orientation="portrait"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8">
    <tabColor rgb="FF00B0F0"/>
  </sheetPr>
  <dimension ref="A1:V21"/>
  <sheetViews>
    <sheetView zoomScale="90" zoomScaleNormal="90" workbookViewId="0">
      <pane ySplit="2" topLeftCell="A3" activePane="bottomLeft" state="frozen"/>
      <selection pane="bottomLeft" activeCell="E16" sqref="E16"/>
    </sheetView>
  </sheetViews>
  <sheetFormatPr baseColWidth="10" defaultColWidth="11.69140625" defaultRowHeight="15.75" customHeight="1" x14ac:dyDescent="0.35"/>
  <cols>
    <col min="1" max="1" width="8.3046875" style="2" bestFit="1" customWidth="1"/>
    <col min="2" max="2" width="3.84375" style="2" bestFit="1" customWidth="1"/>
    <col min="3" max="3" width="27.23046875" style="2" customWidth="1"/>
    <col min="4" max="4" width="9.3046875" style="4" bestFit="1" customWidth="1"/>
    <col min="5" max="5" width="15.23046875" style="2" customWidth="1"/>
    <col min="6" max="6" width="9" style="2" customWidth="1"/>
    <col min="7" max="7" width="8.3046875" style="2" bestFit="1" customWidth="1"/>
    <col min="8" max="8" width="11.69140625" style="3"/>
    <col min="9" max="9" width="9" style="4" bestFit="1" customWidth="1"/>
    <col min="10" max="10" width="11.69140625" style="2"/>
    <col min="11" max="11" width="11.69140625" style="4"/>
    <col min="12" max="12" width="11.69140625" style="3" customWidth="1"/>
    <col min="13" max="13" width="10.4609375" style="4" customWidth="1"/>
    <col min="14" max="14" width="3.84375" style="2" customWidth="1"/>
    <col min="15" max="15" width="6.84375" style="2" customWidth="1"/>
    <col min="16" max="16" width="7.53515625" style="2" customWidth="1"/>
    <col min="17" max="19" width="11.69140625" style="2" customWidth="1"/>
    <col min="20" max="16384" width="11.69140625" style="2"/>
  </cols>
  <sheetData>
    <row r="1" spans="1:22" ht="15.75" customHeight="1" thickBot="1" x14ac:dyDescent="0.4">
      <c r="T1" s="507" t="s">
        <v>182</v>
      </c>
      <c r="U1" s="508"/>
      <c r="V1" s="505"/>
    </row>
    <row r="2" spans="1:22" s="26" customFormat="1" ht="30" customHeight="1" thickBot="1" x14ac:dyDescent="0.4">
      <c r="A2" s="50" t="s">
        <v>93</v>
      </c>
      <c r="B2" s="50" t="s">
        <v>10</v>
      </c>
      <c r="C2" s="50" t="s">
        <v>6</v>
      </c>
      <c r="D2" s="50" t="s">
        <v>0</v>
      </c>
      <c r="E2" s="50" t="s">
        <v>103</v>
      </c>
      <c r="F2" s="50" t="s">
        <v>104</v>
      </c>
      <c r="G2" s="50" t="s">
        <v>112</v>
      </c>
      <c r="H2" s="50" t="s">
        <v>192</v>
      </c>
      <c r="I2" s="50" t="s">
        <v>185</v>
      </c>
      <c r="J2" s="50" t="s">
        <v>176</v>
      </c>
      <c r="K2" s="50" t="s">
        <v>193</v>
      </c>
      <c r="L2" s="50" t="s">
        <v>186</v>
      </c>
      <c r="M2" s="50" t="s">
        <v>194</v>
      </c>
      <c r="N2" s="50" t="s">
        <v>8</v>
      </c>
      <c r="O2" s="50" t="s">
        <v>195</v>
      </c>
      <c r="P2" s="50" t="s">
        <v>196</v>
      </c>
      <c r="Q2" s="50" t="s">
        <v>197</v>
      </c>
      <c r="R2" s="50" t="s">
        <v>198</v>
      </c>
      <c r="S2" s="50" t="s">
        <v>199</v>
      </c>
      <c r="T2" s="50" t="s">
        <v>187</v>
      </c>
      <c r="U2" s="50" t="s">
        <v>188</v>
      </c>
      <c r="V2" s="50" t="s">
        <v>189</v>
      </c>
    </row>
    <row r="3" spans="1:22" s="6" customFormat="1" ht="15.75" customHeight="1" x14ac:dyDescent="0.35">
      <c r="A3" s="51">
        <v>42009</v>
      </c>
      <c r="B3" s="52">
        <v>98</v>
      </c>
      <c r="C3" s="53" t="s">
        <v>122</v>
      </c>
      <c r="D3" s="54">
        <v>20311226224</v>
      </c>
      <c r="E3" s="53" t="s">
        <v>100</v>
      </c>
      <c r="F3" s="55" t="s">
        <v>102</v>
      </c>
      <c r="G3" s="56">
        <v>41946</v>
      </c>
      <c r="H3" s="55" t="s">
        <v>24</v>
      </c>
      <c r="I3" s="54">
        <v>7</v>
      </c>
      <c r="J3" s="53" t="s">
        <v>107</v>
      </c>
      <c r="K3" s="56">
        <v>31161</v>
      </c>
      <c r="L3" s="57" t="s">
        <v>121</v>
      </c>
      <c r="M3" s="54">
        <v>154603720</v>
      </c>
      <c r="N3" s="53">
        <v>8316</v>
      </c>
      <c r="O3" s="53" t="s">
        <v>4</v>
      </c>
      <c r="P3" s="53" t="s">
        <v>5</v>
      </c>
      <c r="Q3" s="53"/>
      <c r="R3" s="53"/>
      <c r="S3" s="53" t="s">
        <v>31</v>
      </c>
      <c r="T3" s="39">
        <f t="shared" ref="T3:T8" si="0">DATEDIF(G3,A3,"MD")</f>
        <v>2</v>
      </c>
      <c r="U3" s="39">
        <f t="shared" ref="U3:U8" si="1">DATEDIF(G3,A3,"YM")</f>
        <v>2</v>
      </c>
      <c r="V3" s="39">
        <f t="shared" ref="V3:V8" si="2">DATEDIF(G3,A3,"Y")</f>
        <v>0</v>
      </c>
    </row>
    <row r="4" spans="1:22" s="6" customFormat="1" ht="15.75" customHeight="1" x14ac:dyDescent="0.35">
      <c r="A4" s="75">
        <v>42014</v>
      </c>
      <c r="B4" s="59">
        <v>9</v>
      </c>
      <c r="C4" s="42" t="s">
        <v>38</v>
      </c>
      <c r="D4" s="60">
        <v>20233647870</v>
      </c>
      <c r="E4" s="42" t="s">
        <v>100</v>
      </c>
      <c r="F4" s="61" t="s">
        <v>102</v>
      </c>
      <c r="G4" s="62">
        <v>41430</v>
      </c>
      <c r="H4" s="61" t="s">
        <v>25</v>
      </c>
      <c r="I4" s="60" t="s">
        <v>120</v>
      </c>
      <c r="J4" s="42" t="s">
        <v>119</v>
      </c>
      <c r="K4" s="62">
        <v>27011</v>
      </c>
      <c r="L4" s="63" t="s">
        <v>39</v>
      </c>
      <c r="M4" s="60" t="s">
        <v>40</v>
      </c>
      <c r="N4" s="42">
        <v>8307</v>
      </c>
      <c r="O4" s="42" t="s">
        <v>37</v>
      </c>
      <c r="P4" s="42" t="s">
        <v>3</v>
      </c>
      <c r="Q4" s="42" t="s">
        <v>98</v>
      </c>
      <c r="R4" s="42" t="s">
        <v>98</v>
      </c>
      <c r="S4" s="42" t="s">
        <v>15</v>
      </c>
      <c r="T4" s="39">
        <f t="shared" si="0"/>
        <v>5</v>
      </c>
      <c r="U4" s="39">
        <f t="shared" si="1"/>
        <v>7</v>
      </c>
      <c r="V4" s="39">
        <f t="shared" si="2"/>
        <v>1</v>
      </c>
    </row>
    <row r="5" spans="1:22" s="6" customFormat="1" ht="15.75" customHeight="1" x14ac:dyDescent="0.35">
      <c r="A5" s="58">
        <v>42026</v>
      </c>
      <c r="B5" s="59">
        <v>96</v>
      </c>
      <c r="C5" s="42" t="s">
        <v>114</v>
      </c>
      <c r="D5" s="60">
        <v>20355376886</v>
      </c>
      <c r="E5" s="42" t="s">
        <v>100</v>
      </c>
      <c r="F5" s="61" t="s">
        <v>102</v>
      </c>
      <c r="G5" s="62">
        <v>41918</v>
      </c>
      <c r="H5" s="60" t="s">
        <v>25</v>
      </c>
      <c r="I5" s="60" t="s">
        <v>95</v>
      </c>
      <c r="J5" s="64" t="s">
        <v>75</v>
      </c>
      <c r="K5" s="62">
        <v>33029</v>
      </c>
      <c r="L5" s="63" t="s">
        <v>113</v>
      </c>
      <c r="M5" s="60">
        <v>154186960</v>
      </c>
      <c r="N5" s="42">
        <v>8300</v>
      </c>
      <c r="O5" s="42" t="s">
        <v>5</v>
      </c>
      <c r="P5" s="42" t="s">
        <v>5</v>
      </c>
      <c r="Q5" s="42" t="s">
        <v>98</v>
      </c>
      <c r="R5" s="42" t="s">
        <v>98</v>
      </c>
      <c r="S5" s="42" t="s">
        <v>31</v>
      </c>
      <c r="T5" s="39">
        <f t="shared" si="0"/>
        <v>16</v>
      </c>
      <c r="U5" s="39">
        <f t="shared" si="1"/>
        <v>3</v>
      </c>
      <c r="V5" s="39">
        <f t="shared" si="2"/>
        <v>0</v>
      </c>
    </row>
    <row r="6" spans="1:22" s="6" customFormat="1" ht="15.75" customHeight="1" x14ac:dyDescent="0.35">
      <c r="A6" s="58">
        <v>42035</v>
      </c>
      <c r="B6" s="59">
        <v>99</v>
      </c>
      <c r="C6" s="42" t="s">
        <v>123</v>
      </c>
      <c r="D6" s="60">
        <v>20318201219</v>
      </c>
      <c r="E6" s="42" t="s">
        <v>101</v>
      </c>
      <c r="F6" s="61" t="s">
        <v>102</v>
      </c>
      <c r="G6" s="62">
        <v>41950</v>
      </c>
      <c r="H6" s="60" t="s">
        <v>25</v>
      </c>
      <c r="I6" s="62" t="s">
        <v>26</v>
      </c>
      <c r="J6" s="64" t="s">
        <v>43</v>
      </c>
      <c r="K6" s="62">
        <v>31287</v>
      </c>
      <c r="L6" s="63" t="s">
        <v>124</v>
      </c>
      <c r="M6" s="60">
        <v>155169076</v>
      </c>
      <c r="N6" s="42">
        <v>8300</v>
      </c>
      <c r="O6" s="42" t="s">
        <v>5</v>
      </c>
      <c r="P6" s="42" t="s">
        <v>5</v>
      </c>
      <c r="Q6" s="42" t="s">
        <v>98</v>
      </c>
      <c r="R6" s="42" t="s">
        <v>98</v>
      </c>
      <c r="S6" s="42" t="s">
        <v>15</v>
      </c>
      <c r="T6" s="39">
        <f t="shared" si="0"/>
        <v>24</v>
      </c>
      <c r="U6" s="39">
        <f t="shared" si="1"/>
        <v>2</v>
      </c>
      <c r="V6" s="39">
        <f t="shared" si="2"/>
        <v>0</v>
      </c>
    </row>
    <row r="7" spans="1:22" s="6" customFormat="1" ht="15.75" customHeight="1" x14ac:dyDescent="0.35">
      <c r="A7" s="58">
        <v>42094</v>
      </c>
      <c r="B7" s="59">
        <v>89</v>
      </c>
      <c r="C7" s="42" t="s">
        <v>80</v>
      </c>
      <c r="D7" s="60">
        <v>24320268164</v>
      </c>
      <c r="E7" s="42" t="s">
        <v>131</v>
      </c>
      <c r="F7" s="42" t="s">
        <v>102</v>
      </c>
      <c r="G7" s="62">
        <v>41792</v>
      </c>
      <c r="H7" s="61" t="s">
        <v>25</v>
      </c>
      <c r="I7" s="60" t="s">
        <v>81</v>
      </c>
      <c r="J7" s="42" t="s">
        <v>127</v>
      </c>
      <c r="K7" s="62">
        <v>31395</v>
      </c>
      <c r="L7" s="63" t="s">
        <v>82</v>
      </c>
      <c r="M7" s="60">
        <v>154382944</v>
      </c>
      <c r="N7" s="42">
        <v>8300</v>
      </c>
      <c r="O7" s="42" t="s">
        <v>5</v>
      </c>
      <c r="P7" s="42" t="s">
        <v>5</v>
      </c>
      <c r="Q7" s="42" t="s">
        <v>98</v>
      </c>
      <c r="R7" s="42"/>
      <c r="S7" s="42"/>
      <c r="T7" s="39">
        <f t="shared" si="0"/>
        <v>29</v>
      </c>
      <c r="U7" s="39">
        <f t="shared" si="1"/>
        <v>9</v>
      </c>
      <c r="V7" s="39">
        <f t="shared" si="2"/>
        <v>0</v>
      </c>
    </row>
    <row r="8" spans="1:22" s="6" customFormat="1" ht="15.75" customHeight="1" x14ac:dyDescent="0.35">
      <c r="A8" s="58">
        <v>42184</v>
      </c>
      <c r="B8" s="59">
        <v>94</v>
      </c>
      <c r="C8" s="42" t="s">
        <v>108</v>
      </c>
      <c r="D8" s="60">
        <v>23361505409</v>
      </c>
      <c r="E8" s="42" t="s">
        <v>100</v>
      </c>
      <c r="F8" s="42" t="s">
        <v>102</v>
      </c>
      <c r="G8" s="62">
        <v>41883</v>
      </c>
      <c r="H8" s="60" t="s">
        <v>25</v>
      </c>
      <c r="I8" s="60" t="s">
        <v>69</v>
      </c>
      <c r="J8" s="62" t="s">
        <v>43</v>
      </c>
      <c r="K8" s="62">
        <v>33324</v>
      </c>
      <c r="L8" s="63" t="s">
        <v>109</v>
      </c>
      <c r="M8" s="60">
        <v>154295117</v>
      </c>
      <c r="N8" s="42">
        <v>8300</v>
      </c>
      <c r="O8" s="42" t="s">
        <v>5</v>
      </c>
      <c r="P8" s="42" t="s">
        <v>5</v>
      </c>
      <c r="Q8" s="42" t="s">
        <v>98</v>
      </c>
      <c r="R8" s="42" t="s">
        <v>98</v>
      </c>
      <c r="S8" s="42" t="s">
        <v>15</v>
      </c>
      <c r="T8" s="39">
        <f t="shared" si="0"/>
        <v>28</v>
      </c>
      <c r="U8" s="39">
        <f t="shared" si="1"/>
        <v>9</v>
      </c>
      <c r="V8" s="39">
        <f t="shared" si="2"/>
        <v>0</v>
      </c>
    </row>
    <row r="9" spans="1:22" s="6" customFormat="1" ht="15.75" customHeight="1" x14ac:dyDescent="0.35">
      <c r="A9" s="58">
        <v>42193</v>
      </c>
      <c r="B9" s="59">
        <v>86</v>
      </c>
      <c r="C9" s="42" t="s">
        <v>68</v>
      </c>
      <c r="D9" s="60">
        <v>20928139566</v>
      </c>
      <c r="E9" s="63" t="s">
        <v>100</v>
      </c>
      <c r="F9" s="42" t="s">
        <v>102</v>
      </c>
      <c r="G9" s="62">
        <v>41799</v>
      </c>
      <c r="H9" s="61" t="s">
        <v>25</v>
      </c>
      <c r="I9" s="60" t="s">
        <v>126</v>
      </c>
      <c r="J9" s="42" t="s">
        <v>70</v>
      </c>
      <c r="K9" s="64">
        <v>22988</v>
      </c>
      <c r="L9" s="63" t="s">
        <v>132</v>
      </c>
      <c r="M9" s="60">
        <v>155154879</v>
      </c>
      <c r="N9" s="42">
        <v>8319</v>
      </c>
      <c r="O9" s="42" t="s">
        <v>19</v>
      </c>
      <c r="P9" s="42" t="s">
        <v>5</v>
      </c>
      <c r="Q9" s="42" t="s">
        <v>98</v>
      </c>
      <c r="R9" s="42" t="s">
        <v>98</v>
      </c>
      <c r="S9" s="42" t="s">
        <v>15</v>
      </c>
      <c r="T9" s="39">
        <f t="shared" ref="T9:T21" si="3">DATEDIF(G9,A9,"MD")</f>
        <v>29</v>
      </c>
      <c r="U9" s="39">
        <f t="shared" ref="U9:U21" si="4">DATEDIF(G9,A9,"YM")</f>
        <v>0</v>
      </c>
      <c r="V9" s="39">
        <f t="shared" ref="V9:V21" si="5">DATEDIF(G9,A9,"Y")</f>
        <v>1</v>
      </c>
    </row>
    <row r="10" spans="1:22" s="6" customFormat="1" ht="15.75" customHeight="1" x14ac:dyDescent="0.35">
      <c r="A10" s="58">
        <v>42194</v>
      </c>
      <c r="B10" s="59">
        <v>97</v>
      </c>
      <c r="C10" s="42" t="s">
        <v>115</v>
      </c>
      <c r="D10" s="60">
        <v>20336731624</v>
      </c>
      <c r="E10" s="63" t="s">
        <v>100</v>
      </c>
      <c r="F10" s="42" t="s">
        <v>102</v>
      </c>
      <c r="G10" s="62">
        <v>41932</v>
      </c>
      <c r="H10" s="60" t="s">
        <v>25</v>
      </c>
      <c r="I10" s="60" t="s">
        <v>95</v>
      </c>
      <c r="J10" s="64" t="s">
        <v>43</v>
      </c>
      <c r="K10" s="64">
        <v>32241</v>
      </c>
      <c r="L10" s="63" t="s">
        <v>116</v>
      </c>
      <c r="M10" s="60">
        <v>154517250</v>
      </c>
      <c r="N10" s="42">
        <v>8316</v>
      </c>
      <c r="O10" s="42" t="s">
        <v>4</v>
      </c>
      <c r="P10" s="42" t="s">
        <v>5</v>
      </c>
      <c r="Q10" s="42" t="s">
        <v>98</v>
      </c>
      <c r="R10" s="42" t="s">
        <v>98</v>
      </c>
      <c r="S10" s="42" t="s">
        <v>31</v>
      </c>
      <c r="T10" s="39">
        <f t="shared" si="3"/>
        <v>19</v>
      </c>
      <c r="U10" s="39">
        <f t="shared" si="4"/>
        <v>8</v>
      </c>
      <c r="V10" s="39">
        <f t="shared" si="5"/>
        <v>0</v>
      </c>
    </row>
    <row r="11" spans="1:22" s="6" customFormat="1" ht="15.75" customHeight="1" x14ac:dyDescent="0.35">
      <c r="A11" s="58">
        <v>42216</v>
      </c>
      <c r="B11" s="59">
        <v>87</v>
      </c>
      <c r="C11" s="42" t="s">
        <v>71</v>
      </c>
      <c r="D11" s="60">
        <v>20929740069</v>
      </c>
      <c r="E11" s="63" t="s">
        <v>149</v>
      </c>
      <c r="F11" s="42" t="s">
        <v>102</v>
      </c>
      <c r="G11" s="62">
        <v>41792</v>
      </c>
      <c r="H11" s="61" t="s">
        <v>25</v>
      </c>
      <c r="I11" s="60" t="s">
        <v>126</v>
      </c>
      <c r="J11" s="42" t="s">
        <v>70</v>
      </c>
      <c r="K11" s="64">
        <v>25913</v>
      </c>
      <c r="L11" s="63" t="s">
        <v>141</v>
      </c>
      <c r="M11" s="60">
        <v>4678803</v>
      </c>
      <c r="N11" s="42">
        <v>8313</v>
      </c>
      <c r="O11" s="42" t="s">
        <v>142</v>
      </c>
      <c r="P11" s="42" t="s">
        <v>3</v>
      </c>
      <c r="Q11" s="42" t="s">
        <v>98</v>
      </c>
      <c r="R11" s="42" t="s">
        <v>98</v>
      </c>
      <c r="S11" s="42" t="s">
        <v>15</v>
      </c>
      <c r="T11" s="39">
        <f t="shared" si="3"/>
        <v>29</v>
      </c>
      <c r="U11" s="39">
        <f t="shared" si="4"/>
        <v>1</v>
      </c>
      <c r="V11" s="39">
        <f t="shared" si="5"/>
        <v>1</v>
      </c>
    </row>
    <row r="12" spans="1:22" s="6" customFormat="1" ht="15.75" customHeight="1" x14ac:dyDescent="0.35">
      <c r="A12" s="58">
        <v>42220</v>
      </c>
      <c r="B12" s="59">
        <v>100</v>
      </c>
      <c r="C12" s="42" t="s">
        <v>125</v>
      </c>
      <c r="D12" s="60">
        <v>20362015872</v>
      </c>
      <c r="E12" s="63" t="s">
        <v>100</v>
      </c>
      <c r="F12" s="61" t="s">
        <v>102</v>
      </c>
      <c r="G12" s="62">
        <v>41951</v>
      </c>
      <c r="H12" s="61" t="s">
        <v>25</v>
      </c>
      <c r="I12" s="60" t="s">
        <v>95</v>
      </c>
      <c r="J12" s="42" t="s">
        <v>43</v>
      </c>
      <c r="K12" s="64">
        <v>33681</v>
      </c>
      <c r="L12" s="63" t="s">
        <v>137</v>
      </c>
      <c r="M12" s="60">
        <v>155901905</v>
      </c>
      <c r="N12" s="42">
        <v>8300</v>
      </c>
      <c r="O12" s="42" t="s">
        <v>138</v>
      </c>
      <c r="P12" s="42" t="s">
        <v>139</v>
      </c>
      <c r="Q12" s="42" t="s">
        <v>98</v>
      </c>
      <c r="R12" s="42" t="s">
        <v>98</v>
      </c>
      <c r="S12" s="42" t="s">
        <v>15</v>
      </c>
      <c r="T12" s="39">
        <f t="shared" si="3"/>
        <v>27</v>
      </c>
      <c r="U12" s="39">
        <f t="shared" si="4"/>
        <v>8</v>
      </c>
      <c r="V12" s="39">
        <f t="shared" si="5"/>
        <v>0</v>
      </c>
    </row>
    <row r="13" spans="1:22" ht="15.75" customHeight="1" x14ac:dyDescent="0.35">
      <c r="A13" s="74">
        <v>42255</v>
      </c>
      <c r="B13" s="59">
        <v>95</v>
      </c>
      <c r="C13" s="42" t="s">
        <v>110</v>
      </c>
      <c r="D13" s="60">
        <v>20345450042</v>
      </c>
      <c r="E13" s="63" t="s">
        <v>100</v>
      </c>
      <c r="F13" s="61" t="s">
        <v>102</v>
      </c>
      <c r="G13" s="62">
        <v>41904</v>
      </c>
      <c r="H13" s="61" t="s">
        <v>25</v>
      </c>
      <c r="I13" s="60" t="s">
        <v>95</v>
      </c>
      <c r="J13" s="42" t="s">
        <v>43</v>
      </c>
      <c r="K13" s="64">
        <v>32638</v>
      </c>
      <c r="L13" s="63" t="s">
        <v>111</v>
      </c>
      <c r="M13" s="60">
        <v>154064826</v>
      </c>
      <c r="N13" s="42">
        <v>8309</v>
      </c>
      <c r="O13" s="42" t="s">
        <v>2</v>
      </c>
      <c r="P13" s="42" t="s">
        <v>3</v>
      </c>
      <c r="Q13" s="42" t="s">
        <v>98</v>
      </c>
      <c r="R13" s="42" t="s">
        <v>98</v>
      </c>
      <c r="S13" s="42" t="s">
        <v>15</v>
      </c>
      <c r="T13" s="39">
        <f t="shared" si="3"/>
        <v>17</v>
      </c>
      <c r="U13" s="39">
        <f t="shared" si="4"/>
        <v>11</v>
      </c>
      <c r="V13" s="39">
        <f t="shared" si="5"/>
        <v>0</v>
      </c>
    </row>
    <row r="14" spans="1:22" ht="15.75" customHeight="1" x14ac:dyDescent="0.35">
      <c r="A14" s="58">
        <v>42275</v>
      </c>
      <c r="B14" s="59">
        <v>102</v>
      </c>
      <c r="C14" s="42" t="s">
        <v>130</v>
      </c>
      <c r="D14" s="60">
        <v>20371733915</v>
      </c>
      <c r="E14" s="63" t="s">
        <v>100</v>
      </c>
      <c r="F14" s="61" t="s">
        <v>102</v>
      </c>
      <c r="G14" s="62">
        <v>42040</v>
      </c>
      <c r="H14" s="61" t="s">
        <v>25</v>
      </c>
      <c r="I14" s="60" t="s">
        <v>95</v>
      </c>
      <c r="J14" s="42" t="s">
        <v>43</v>
      </c>
      <c r="K14" s="64">
        <v>34003</v>
      </c>
      <c r="L14" s="63" t="s">
        <v>129</v>
      </c>
      <c r="M14" s="60">
        <v>2996289460</v>
      </c>
      <c r="N14" s="42">
        <v>8300</v>
      </c>
      <c r="O14" s="42" t="s">
        <v>5</v>
      </c>
      <c r="P14" s="42" t="s">
        <v>5</v>
      </c>
      <c r="Q14" s="42" t="s">
        <v>98</v>
      </c>
      <c r="R14" s="42" t="s">
        <v>98</v>
      </c>
      <c r="S14" s="42" t="s">
        <v>15</v>
      </c>
      <c r="T14" s="39">
        <f t="shared" si="3"/>
        <v>23</v>
      </c>
      <c r="U14" s="39">
        <f t="shared" si="4"/>
        <v>7</v>
      </c>
      <c r="V14" s="39">
        <f t="shared" si="5"/>
        <v>0</v>
      </c>
    </row>
    <row r="15" spans="1:22" ht="15.75" customHeight="1" x14ac:dyDescent="0.35">
      <c r="A15" s="58">
        <v>42276</v>
      </c>
      <c r="B15" s="59">
        <v>106</v>
      </c>
      <c r="C15" s="42" t="s">
        <v>144</v>
      </c>
      <c r="D15" s="60">
        <v>20333932742</v>
      </c>
      <c r="E15" s="42" t="s">
        <v>131</v>
      </c>
      <c r="F15" s="42" t="s">
        <v>102</v>
      </c>
      <c r="G15" s="62">
        <v>42195</v>
      </c>
      <c r="H15" s="61" t="s">
        <v>25</v>
      </c>
      <c r="I15" s="60" t="s">
        <v>26</v>
      </c>
      <c r="J15" s="42" t="s">
        <v>43</v>
      </c>
      <c r="K15" s="64">
        <v>32244</v>
      </c>
      <c r="L15" s="63" t="s">
        <v>143</v>
      </c>
      <c r="M15" s="60">
        <v>155154583</v>
      </c>
      <c r="N15" s="42">
        <v>8316</v>
      </c>
      <c r="O15" s="42" t="s">
        <v>4</v>
      </c>
      <c r="P15" s="42" t="s">
        <v>5</v>
      </c>
      <c r="Q15" s="42" t="s">
        <v>98</v>
      </c>
      <c r="R15" s="42" t="s">
        <v>98</v>
      </c>
      <c r="S15" s="42" t="s">
        <v>15</v>
      </c>
      <c r="T15" s="39">
        <f t="shared" si="3"/>
        <v>19</v>
      </c>
      <c r="U15" s="39">
        <f t="shared" si="4"/>
        <v>2</v>
      </c>
      <c r="V15" s="39">
        <f t="shared" si="5"/>
        <v>0</v>
      </c>
    </row>
    <row r="16" spans="1:22" ht="15.75" customHeight="1" x14ac:dyDescent="0.35">
      <c r="A16" s="58">
        <v>42276</v>
      </c>
      <c r="B16" s="59">
        <v>108</v>
      </c>
      <c r="C16" s="42" t="s">
        <v>146</v>
      </c>
      <c r="D16" s="60">
        <v>20207941418</v>
      </c>
      <c r="E16" s="42" t="s">
        <v>131</v>
      </c>
      <c r="F16" s="42" t="s">
        <v>102</v>
      </c>
      <c r="G16" s="62">
        <v>42208</v>
      </c>
      <c r="H16" s="61" t="s">
        <v>25</v>
      </c>
      <c r="I16" s="60" t="s">
        <v>26</v>
      </c>
      <c r="J16" s="42" t="s">
        <v>43</v>
      </c>
      <c r="K16" s="64">
        <v>25525</v>
      </c>
      <c r="L16" s="63" t="s">
        <v>147</v>
      </c>
      <c r="M16" s="60">
        <v>155502953</v>
      </c>
      <c r="N16" s="42">
        <v>8300</v>
      </c>
      <c r="O16" s="42" t="s">
        <v>5</v>
      </c>
      <c r="P16" s="42" t="s">
        <v>5</v>
      </c>
      <c r="Q16" s="42" t="s">
        <v>98</v>
      </c>
      <c r="R16" s="42" t="s">
        <v>98</v>
      </c>
      <c r="S16" s="42" t="s">
        <v>15</v>
      </c>
      <c r="T16" s="39">
        <f t="shared" si="3"/>
        <v>6</v>
      </c>
      <c r="U16" s="39">
        <f t="shared" si="4"/>
        <v>2</v>
      </c>
      <c r="V16" s="39">
        <f t="shared" si="5"/>
        <v>0</v>
      </c>
    </row>
    <row r="17" spans="1:22" ht="15.75" customHeight="1" x14ac:dyDescent="0.35">
      <c r="A17" s="73">
        <v>42277</v>
      </c>
      <c r="B17" s="59">
        <v>104</v>
      </c>
      <c r="C17" s="42" t="s">
        <v>134</v>
      </c>
      <c r="D17" s="60">
        <v>20166252572</v>
      </c>
      <c r="E17" s="42" t="s">
        <v>131</v>
      </c>
      <c r="F17" s="42" t="s">
        <v>102</v>
      </c>
      <c r="G17" s="62">
        <v>42156</v>
      </c>
      <c r="H17" s="61" t="s">
        <v>25</v>
      </c>
      <c r="I17" s="60" t="s">
        <v>120</v>
      </c>
      <c r="J17" s="42" t="s">
        <v>70</v>
      </c>
      <c r="K17" s="64">
        <v>23243</v>
      </c>
      <c r="L17" s="63" t="s">
        <v>135</v>
      </c>
      <c r="M17" s="60">
        <v>2995347862</v>
      </c>
      <c r="N17" s="42">
        <v>8324</v>
      </c>
      <c r="O17" s="42" t="s">
        <v>2</v>
      </c>
      <c r="P17" s="42" t="s">
        <v>3</v>
      </c>
      <c r="Q17" s="42" t="s">
        <v>98</v>
      </c>
      <c r="R17" s="42" t="s">
        <v>98</v>
      </c>
      <c r="S17" s="42" t="s">
        <v>15</v>
      </c>
      <c r="T17" s="39">
        <f t="shared" si="3"/>
        <v>29</v>
      </c>
      <c r="U17" s="39">
        <f t="shared" si="4"/>
        <v>3</v>
      </c>
      <c r="V17" s="39">
        <f t="shared" si="5"/>
        <v>0</v>
      </c>
    </row>
    <row r="18" spans="1:22" ht="15.75" customHeight="1" x14ac:dyDescent="0.35">
      <c r="A18" s="65">
        <v>42277</v>
      </c>
      <c r="B18" s="59">
        <v>83</v>
      </c>
      <c r="C18" s="42" t="s">
        <v>66</v>
      </c>
      <c r="D18" s="60">
        <v>20384295356</v>
      </c>
      <c r="E18" s="42" t="s">
        <v>131</v>
      </c>
      <c r="F18" s="42" t="s">
        <v>102</v>
      </c>
      <c r="G18" s="62">
        <v>41760</v>
      </c>
      <c r="H18" s="61" t="s">
        <v>24</v>
      </c>
      <c r="I18" s="60">
        <v>2</v>
      </c>
      <c r="J18" s="42" t="s">
        <v>67</v>
      </c>
      <c r="K18" s="64">
        <v>34475</v>
      </c>
      <c r="L18" s="63" t="s">
        <v>90</v>
      </c>
      <c r="M18" s="60" t="s">
        <v>91</v>
      </c>
      <c r="N18" s="42">
        <v>8316</v>
      </c>
      <c r="O18" s="42" t="s">
        <v>4</v>
      </c>
      <c r="P18" s="42" t="s">
        <v>5</v>
      </c>
      <c r="Q18" s="42"/>
      <c r="R18" s="42"/>
      <c r="S18" s="42" t="s">
        <v>15</v>
      </c>
      <c r="T18" s="39">
        <f t="shared" si="3"/>
        <v>29</v>
      </c>
      <c r="U18" s="39">
        <f t="shared" si="4"/>
        <v>4</v>
      </c>
      <c r="V18" s="39">
        <f t="shared" si="5"/>
        <v>1</v>
      </c>
    </row>
    <row r="19" spans="1:22" ht="15.75" customHeight="1" x14ac:dyDescent="0.35">
      <c r="A19" s="65">
        <v>42308</v>
      </c>
      <c r="B19" s="59">
        <v>2</v>
      </c>
      <c r="C19" s="42" t="s">
        <v>30</v>
      </c>
      <c r="D19" s="60">
        <v>20130473963</v>
      </c>
      <c r="E19" s="42" t="s">
        <v>131</v>
      </c>
      <c r="F19" s="42" t="s">
        <v>102</v>
      </c>
      <c r="G19" s="62">
        <v>41295</v>
      </c>
      <c r="H19" s="61" t="s">
        <v>25</v>
      </c>
      <c r="I19" s="60" t="s">
        <v>117</v>
      </c>
      <c r="J19" s="42" t="s">
        <v>118</v>
      </c>
      <c r="K19" s="64">
        <v>20846</v>
      </c>
      <c r="L19" s="63" t="s">
        <v>32</v>
      </c>
      <c r="M19" s="60" t="s">
        <v>33</v>
      </c>
      <c r="N19" s="42">
        <v>8316</v>
      </c>
      <c r="O19" s="42" t="s">
        <v>4</v>
      </c>
      <c r="P19" s="42" t="s">
        <v>5</v>
      </c>
      <c r="Q19" s="42" t="s">
        <v>98</v>
      </c>
      <c r="R19" s="42" t="s">
        <v>98</v>
      </c>
      <c r="S19" s="42" t="s">
        <v>15</v>
      </c>
      <c r="T19" s="39">
        <f t="shared" si="3"/>
        <v>10</v>
      </c>
      <c r="U19" s="39">
        <f t="shared" si="4"/>
        <v>9</v>
      </c>
      <c r="V19" s="39">
        <f t="shared" si="5"/>
        <v>2</v>
      </c>
    </row>
    <row r="20" spans="1:22" ht="15.75" customHeight="1" x14ac:dyDescent="0.35">
      <c r="A20" s="73">
        <v>42308</v>
      </c>
      <c r="B20" s="59">
        <v>6</v>
      </c>
      <c r="C20" s="42" t="s">
        <v>72</v>
      </c>
      <c r="D20" s="60">
        <v>23289813799</v>
      </c>
      <c r="E20" s="42" t="s">
        <v>131</v>
      </c>
      <c r="F20" s="42" t="s">
        <v>102</v>
      </c>
      <c r="G20" s="62">
        <v>41458</v>
      </c>
      <c r="H20" s="61" t="s">
        <v>25</v>
      </c>
      <c r="I20" s="60" t="s">
        <v>120</v>
      </c>
      <c r="J20" s="42" t="s">
        <v>119</v>
      </c>
      <c r="K20" s="64">
        <v>29954</v>
      </c>
      <c r="L20" s="63" t="s">
        <v>73</v>
      </c>
      <c r="M20" s="60">
        <v>154210453</v>
      </c>
      <c r="N20" s="42">
        <v>8307</v>
      </c>
      <c r="O20" s="42" t="s">
        <v>37</v>
      </c>
      <c r="P20" s="42" t="s">
        <v>3</v>
      </c>
      <c r="Q20" s="42" t="s">
        <v>98</v>
      </c>
      <c r="R20" s="42" t="s">
        <v>98</v>
      </c>
      <c r="S20" s="42" t="s">
        <v>15</v>
      </c>
      <c r="T20" s="39">
        <f t="shared" si="3"/>
        <v>28</v>
      </c>
      <c r="U20" s="39">
        <f t="shared" si="4"/>
        <v>3</v>
      </c>
      <c r="V20" s="39">
        <f t="shared" si="5"/>
        <v>2</v>
      </c>
    </row>
    <row r="21" spans="1:22" ht="15.75" customHeight="1" x14ac:dyDescent="0.35">
      <c r="A21" s="65">
        <v>42308</v>
      </c>
      <c r="B21" s="59">
        <v>91</v>
      </c>
      <c r="C21" s="42" t="s">
        <v>74</v>
      </c>
      <c r="D21" s="60">
        <v>23343888074</v>
      </c>
      <c r="E21" s="63" t="s">
        <v>100</v>
      </c>
      <c r="F21" s="42" t="s">
        <v>102</v>
      </c>
      <c r="G21" s="62">
        <v>41821</v>
      </c>
      <c r="H21" s="61" t="s">
        <v>25</v>
      </c>
      <c r="I21" s="60" t="s">
        <v>95</v>
      </c>
      <c r="J21" s="42" t="s">
        <v>75</v>
      </c>
      <c r="K21" s="64">
        <v>32448</v>
      </c>
      <c r="L21" s="63" t="s">
        <v>140</v>
      </c>
      <c r="M21" s="60" t="s">
        <v>79</v>
      </c>
      <c r="N21" s="42">
        <v>8316</v>
      </c>
      <c r="O21" s="42" t="s">
        <v>4</v>
      </c>
      <c r="P21" s="42" t="s">
        <v>5</v>
      </c>
      <c r="Q21" s="42" t="s">
        <v>98</v>
      </c>
      <c r="R21" s="42" t="s">
        <v>98</v>
      </c>
      <c r="S21" s="42" t="s">
        <v>15</v>
      </c>
      <c r="T21" s="39">
        <f t="shared" si="3"/>
        <v>30</v>
      </c>
      <c r="U21" s="39">
        <f t="shared" si="4"/>
        <v>3</v>
      </c>
      <c r="V21" s="39">
        <f t="shared" si="5"/>
        <v>1</v>
      </c>
    </row>
  </sheetData>
  <customSheetViews>
    <customSheetView guid="{94CDC186-10C0-4483-96D9-E39804360A89}" scale="89" showPageBreaks="1" printArea="1" topLeftCell="D1">
      <pane ySplit="1" topLeftCell="A2" activePane="bottomLeft" state="frozen"/>
      <selection pane="bottomLeft" activeCell="O25" sqref="A24:O25"/>
      <pageMargins left="0.7" right="0.7" top="0.75" bottom="0.75" header="0.3" footer="0.3"/>
      <pageSetup paperSize="9" orientation="portrait" r:id="rId1"/>
    </customSheetView>
  </customSheetViews>
  <mergeCells count="1">
    <mergeCell ref="T1:V1"/>
  </mergeCells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7">
    <tabColor rgb="FF00B050"/>
  </sheetPr>
  <dimension ref="A1:V13"/>
  <sheetViews>
    <sheetView zoomScale="89" zoomScaleNormal="89" workbookViewId="0">
      <pane ySplit="2" topLeftCell="A3" activePane="bottomLeft" state="frozen"/>
      <selection pane="bottomLeft" activeCell="E4" sqref="E4"/>
    </sheetView>
  </sheetViews>
  <sheetFormatPr baseColWidth="10" defaultColWidth="11.69140625" defaultRowHeight="15" customHeight="1" x14ac:dyDescent="0.35"/>
  <cols>
    <col min="1" max="1" width="8.3046875" style="2" bestFit="1" customWidth="1"/>
    <col min="2" max="2" width="3.84375" style="2" bestFit="1" customWidth="1"/>
    <col min="3" max="3" width="28.23046875" style="2" bestFit="1" customWidth="1"/>
    <col min="4" max="4" width="9.3046875" style="2" bestFit="1" customWidth="1"/>
    <col min="5" max="5" width="14.765625" style="2" customWidth="1"/>
    <col min="6" max="6" width="9.3046875" style="2" customWidth="1"/>
    <col min="7" max="7" width="8.3046875" style="2" bestFit="1" customWidth="1"/>
    <col min="8" max="8" width="11.69140625" style="3"/>
    <col min="9" max="9" width="10.23046875" style="4" customWidth="1"/>
    <col min="10" max="10" width="11.69140625" style="2"/>
    <col min="11" max="11" width="8.3046875" style="4" bestFit="1" customWidth="1"/>
    <col min="12" max="12" width="11.69140625" style="2"/>
    <col min="13" max="13" width="10.4609375" style="4" bestFit="1" customWidth="1"/>
    <col min="14" max="14" width="3.84375" style="2" bestFit="1" customWidth="1"/>
    <col min="15" max="15" width="6.84375" style="2" bestFit="1" customWidth="1"/>
    <col min="16" max="16" width="7.53515625" style="2" bestFit="1" customWidth="1"/>
    <col min="17" max="16384" width="11.69140625" style="2"/>
  </cols>
  <sheetData>
    <row r="1" spans="1:22" ht="15" customHeight="1" thickBot="1" x14ac:dyDescent="0.4">
      <c r="T1" s="507" t="s">
        <v>182</v>
      </c>
      <c r="U1" s="508"/>
      <c r="V1" s="505"/>
    </row>
    <row r="2" spans="1:22" s="26" customFormat="1" ht="30" customHeight="1" thickBot="1" x14ac:dyDescent="0.4">
      <c r="A2" s="50" t="s">
        <v>93</v>
      </c>
      <c r="B2" s="50" t="s">
        <v>10</v>
      </c>
      <c r="C2" s="50" t="s">
        <v>6</v>
      </c>
      <c r="D2" s="50" t="s">
        <v>0</v>
      </c>
      <c r="E2" s="50" t="s">
        <v>103</v>
      </c>
      <c r="F2" s="50" t="s">
        <v>104</v>
      </c>
      <c r="G2" s="50" t="s">
        <v>112</v>
      </c>
      <c r="H2" s="50" t="s">
        <v>192</v>
      </c>
      <c r="I2" s="50" t="s">
        <v>185</v>
      </c>
      <c r="J2" s="50" t="s">
        <v>176</v>
      </c>
      <c r="K2" s="50" t="s">
        <v>193</v>
      </c>
      <c r="L2" s="50" t="s">
        <v>186</v>
      </c>
      <c r="M2" s="50" t="s">
        <v>194</v>
      </c>
      <c r="N2" s="50" t="s">
        <v>8</v>
      </c>
      <c r="O2" s="50" t="s">
        <v>195</v>
      </c>
      <c r="P2" s="50" t="s">
        <v>196</v>
      </c>
      <c r="Q2" s="50" t="s">
        <v>197</v>
      </c>
      <c r="R2" s="50" t="s">
        <v>198</v>
      </c>
      <c r="S2" s="50" t="s">
        <v>199</v>
      </c>
      <c r="T2" s="50" t="s">
        <v>187</v>
      </c>
      <c r="U2" s="50" t="s">
        <v>188</v>
      </c>
      <c r="V2" s="50" t="s">
        <v>189</v>
      </c>
    </row>
    <row r="3" spans="1:22" ht="15" customHeight="1" x14ac:dyDescent="0.35">
      <c r="A3" s="76">
        <v>41800</v>
      </c>
      <c r="B3" s="52">
        <v>61</v>
      </c>
      <c r="C3" s="69" t="s">
        <v>76</v>
      </c>
      <c r="D3" s="69">
        <v>23361505409</v>
      </c>
      <c r="E3" s="69" t="s">
        <v>100</v>
      </c>
      <c r="F3" s="69" t="s">
        <v>102</v>
      </c>
      <c r="G3" s="69"/>
      <c r="H3" s="70"/>
      <c r="I3" s="71"/>
      <c r="J3" s="69"/>
      <c r="K3" s="71"/>
      <c r="L3" s="69"/>
      <c r="M3" s="71"/>
      <c r="N3" s="69"/>
      <c r="O3" s="69"/>
      <c r="P3" s="69"/>
      <c r="Q3" s="69"/>
      <c r="R3" s="69"/>
      <c r="S3" s="69"/>
      <c r="T3" s="39"/>
      <c r="U3" s="39"/>
      <c r="V3" s="39"/>
    </row>
    <row r="4" spans="1:22" ht="15" customHeight="1" x14ac:dyDescent="0.35">
      <c r="A4" s="65">
        <v>41827</v>
      </c>
      <c r="B4" s="59">
        <v>85</v>
      </c>
      <c r="C4" s="66" t="s">
        <v>89</v>
      </c>
      <c r="D4" s="66">
        <v>20305187748</v>
      </c>
      <c r="E4" s="66" t="s">
        <v>101</v>
      </c>
      <c r="F4" s="66" t="s">
        <v>102</v>
      </c>
      <c r="G4" s="66"/>
      <c r="H4" s="68"/>
      <c r="I4" s="67"/>
      <c r="J4" s="66"/>
      <c r="K4" s="67"/>
      <c r="L4" s="66"/>
      <c r="M4" s="67"/>
      <c r="N4" s="66"/>
      <c r="O4" s="66"/>
      <c r="P4" s="66"/>
      <c r="Q4" s="66"/>
      <c r="R4" s="66"/>
      <c r="S4" s="66"/>
      <c r="T4" s="39"/>
      <c r="U4" s="39"/>
      <c r="V4" s="39"/>
    </row>
    <row r="5" spans="1:22" ht="15" customHeight="1" x14ac:dyDescent="0.35">
      <c r="A5" s="65">
        <v>41911</v>
      </c>
      <c r="B5" s="59">
        <v>63</v>
      </c>
      <c r="C5" s="66" t="s">
        <v>41</v>
      </c>
      <c r="D5" s="66">
        <v>20284850891</v>
      </c>
      <c r="E5" s="66" t="s">
        <v>100</v>
      </c>
      <c r="F5" s="66" t="s">
        <v>102</v>
      </c>
      <c r="G5" s="72">
        <v>41295</v>
      </c>
      <c r="H5" s="68" t="s">
        <v>25</v>
      </c>
      <c r="I5" s="67" t="s">
        <v>95</v>
      </c>
      <c r="J5" s="66" t="s">
        <v>43</v>
      </c>
      <c r="K5" s="62">
        <v>29567</v>
      </c>
      <c r="L5" s="66" t="s">
        <v>44</v>
      </c>
      <c r="M5" s="67" t="s">
        <v>45</v>
      </c>
      <c r="N5" s="66">
        <v>8300</v>
      </c>
      <c r="O5" s="66" t="s">
        <v>5</v>
      </c>
      <c r="P5" s="66" t="s">
        <v>5</v>
      </c>
      <c r="Q5" s="66" t="s">
        <v>98</v>
      </c>
      <c r="R5" s="66" t="s">
        <v>98</v>
      </c>
      <c r="S5" s="66" t="s">
        <v>15</v>
      </c>
      <c r="T5" s="39">
        <f t="shared" ref="T5:T12" si="0">DATEDIF(G5,A5,"MD")</f>
        <v>8</v>
      </c>
      <c r="U5" s="39">
        <f t="shared" ref="U5:U12" si="1">DATEDIF(G5,A5,"YM")</f>
        <v>8</v>
      </c>
      <c r="V5" s="39">
        <f t="shared" ref="V5:V12" si="2">DATEDIF(G5,A5,"Y")</f>
        <v>1</v>
      </c>
    </row>
    <row r="6" spans="1:22" ht="15" customHeight="1" x14ac:dyDescent="0.35">
      <c r="A6" s="65">
        <v>41912</v>
      </c>
      <c r="B6" s="59">
        <v>79</v>
      </c>
      <c r="C6" s="42" t="s">
        <v>63</v>
      </c>
      <c r="D6" s="60">
        <v>20366694685</v>
      </c>
      <c r="E6" s="66" t="s">
        <v>100</v>
      </c>
      <c r="F6" s="66" t="s">
        <v>102</v>
      </c>
      <c r="G6" s="72">
        <v>41712</v>
      </c>
      <c r="H6" s="61" t="s">
        <v>25</v>
      </c>
      <c r="I6" s="60" t="s">
        <v>42</v>
      </c>
      <c r="J6" s="42" t="s">
        <v>43</v>
      </c>
      <c r="K6" s="62">
        <v>33682</v>
      </c>
      <c r="L6" s="42" t="s">
        <v>64</v>
      </c>
      <c r="M6" s="60" t="s">
        <v>65</v>
      </c>
      <c r="N6" s="42">
        <v>8300</v>
      </c>
      <c r="O6" s="42" t="s">
        <v>5</v>
      </c>
      <c r="P6" s="42" t="s">
        <v>5</v>
      </c>
      <c r="Q6" s="42" t="s">
        <v>98</v>
      </c>
      <c r="R6" s="42" t="s">
        <v>98</v>
      </c>
      <c r="S6" s="42" t="s">
        <v>15</v>
      </c>
      <c r="T6" s="39">
        <f t="shared" si="0"/>
        <v>16</v>
      </c>
      <c r="U6" s="39">
        <f t="shared" si="1"/>
        <v>6</v>
      </c>
      <c r="V6" s="39">
        <f t="shared" si="2"/>
        <v>0</v>
      </c>
    </row>
    <row r="7" spans="1:22" ht="15" customHeight="1" x14ac:dyDescent="0.35">
      <c r="A7" s="65">
        <v>41912</v>
      </c>
      <c r="B7" s="59">
        <v>82</v>
      </c>
      <c r="C7" s="42" t="s">
        <v>56</v>
      </c>
      <c r="D7" s="66">
        <v>20339418099</v>
      </c>
      <c r="E7" s="66" t="s">
        <v>100</v>
      </c>
      <c r="F7" s="66" t="s">
        <v>102</v>
      </c>
      <c r="G7" s="62">
        <v>41771</v>
      </c>
      <c r="H7" s="63" t="s">
        <v>25</v>
      </c>
      <c r="I7" s="62" t="s">
        <v>26</v>
      </c>
      <c r="J7" s="42" t="s">
        <v>43</v>
      </c>
      <c r="K7" s="62">
        <v>32263</v>
      </c>
      <c r="L7" s="42" t="s">
        <v>58</v>
      </c>
      <c r="M7" s="60" t="s">
        <v>59</v>
      </c>
      <c r="N7" s="42">
        <v>8307</v>
      </c>
      <c r="O7" s="42" t="s">
        <v>37</v>
      </c>
      <c r="P7" s="42" t="s">
        <v>3</v>
      </c>
      <c r="Q7" s="42" t="s">
        <v>98</v>
      </c>
      <c r="R7" s="66" t="s">
        <v>98</v>
      </c>
      <c r="S7" s="66" t="s">
        <v>15</v>
      </c>
      <c r="T7" s="39">
        <f t="shared" si="0"/>
        <v>18</v>
      </c>
      <c r="U7" s="39">
        <f t="shared" si="1"/>
        <v>4</v>
      </c>
      <c r="V7" s="39">
        <f t="shared" si="2"/>
        <v>0</v>
      </c>
    </row>
    <row r="8" spans="1:22" s="6" customFormat="1" ht="15" customHeight="1" x14ac:dyDescent="0.35">
      <c r="A8" s="58">
        <v>41928</v>
      </c>
      <c r="B8" s="59">
        <v>21</v>
      </c>
      <c r="C8" s="42" t="s">
        <v>20</v>
      </c>
      <c r="D8" s="60">
        <v>20288709387</v>
      </c>
      <c r="E8" s="66" t="s">
        <v>100</v>
      </c>
      <c r="F8" s="61" t="s">
        <v>102</v>
      </c>
      <c r="G8" s="62">
        <v>40131</v>
      </c>
      <c r="H8" s="61" t="s">
        <v>24</v>
      </c>
      <c r="I8" s="60">
        <v>7</v>
      </c>
      <c r="J8" s="42" t="s">
        <v>107</v>
      </c>
      <c r="K8" s="62">
        <v>29781</v>
      </c>
      <c r="L8" s="42" t="s">
        <v>27</v>
      </c>
      <c r="M8" s="60">
        <v>154195351</v>
      </c>
      <c r="N8" s="42">
        <v>8300</v>
      </c>
      <c r="O8" s="42" t="s">
        <v>5</v>
      </c>
      <c r="P8" s="42" t="s">
        <v>5</v>
      </c>
      <c r="Q8" s="42" t="s">
        <v>97</v>
      </c>
      <c r="R8" s="42"/>
      <c r="S8" s="42" t="s">
        <v>15</v>
      </c>
      <c r="T8" s="39">
        <f t="shared" si="0"/>
        <v>2</v>
      </c>
      <c r="U8" s="39">
        <f t="shared" si="1"/>
        <v>11</v>
      </c>
      <c r="V8" s="39">
        <f t="shared" si="2"/>
        <v>4</v>
      </c>
    </row>
    <row r="9" spans="1:22" s="6" customFormat="1" ht="15" customHeight="1" x14ac:dyDescent="0.35">
      <c r="A9" s="58">
        <v>41943</v>
      </c>
      <c r="B9" s="59">
        <v>73</v>
      </c>
      <c r="C9" s="42" t="s">
        <v>57</v>
      </c>
      <c r="D9" s="60">
        <v>20364346574</v>
      </c>
      <c r="E9" s="66" t="s">
        <v>100</v>
      </c>
      <c r="F9" s="61" t="s">
        <v>102</v>
      </c>
      <c r="G9" s="62">
        <v>41680</v>
      </c>
      <c r="H9" s="63" t="s">
        <v>25</v>
      </c>
      <c r="I9" s="60" t="s">
        <v>42</v>
      </c>
      <c r="J9" s="64" t="s">
        <v>43</v>
      </c>
      <c r="K9" s="62">
        <v>33544</v>
      </c>
      <c r="L9" s="63" t="s">
        <v>60</v>
      </c>
      <c r="M9" s="60" t="s">
        <v>61</v>
      </c>
      <c r="N9" s="42">
        <v>8300</v>
      </c>
      <c r="O9" s="42" t="s">
        <v>5</v>
      </c>
      <c r="P9" s="42" t="s">
        <v>5</v>
      </c>
      <c r="Q9" s="42" t="s">
        <v>98</v>
      </c>
      <c r="R9" s="42" t="s">
        <v>98</v>
      </c>
      <c r="S9" s="42" t="s">
        <v>15</v>
      </c>
      <c r="T9" s="39">
        <f t="shared" si="0"/>
        <v>21</v>
      </c>
      <c r="U9" s="39">
        <f t="shared" si="1"/>
        <v>8</v>
      </c>
      <c r="V9" s="39">
        <f t="shared" si="2"/>
        <v>0</v>
      </c>
    </row>
    <row r="10" spans="1:22" s="6" customFormat="1" ht="15" customHeight="1" x14ac:dyDescent="0.35">
      <c r="A10" s="58">
        <v>41943</v>
      </c>
      <c r="B10" s="59">
        <v>78</v>
      </c>
      <c r="C10" s="42" t="s">
        <v>49</v>
      </c>
      <c r="D10" s="60">
        <v>20321152776</v>
      </c>
      <c r="E10" s="66" t="s">
        <v>100</v>
      </c>
      <c r="F10" s="61" t="s">
        <v>102</v>
      </c>
      <c r="G10" s="62">
        <v>41733</v>
      </c>
      <c r="H10" s="63" t="s">
        <v>12</v>
      </c>
      <c r="I10" s="64" t="s">
        <v>50</v>
      </c>
      <c r="J10" s="62" t="s">
        <v>50</v>
      </c>
      <c r="K10" s="62">
        <v>31512</v>
      </c>
      <c r="L10" s="42" t="s">
        <v>94</v>
      </c>
      <c r="M10" s="60" t="s">
        <v>51</v>
      </c>
      <c r="N10" s="42">
        <v>8316</v>
      </c>
      <c r="O10" s="42" t="s">
        <v>4</v>
      </c>
      <c r="P10" s="42" t="s">
        <v>5</v>
      </c>
      <c r="Q10" s="42" t="s">
        <v>96</v>
      </c>
      <c r="R10" s="42" t="s">
        <v>96</v>
      </c>
      <c r="S10" s="42" t="s">
        <v>15</v>
      </c>
      <c r="T10" s="39">
        <f t="shared" si="0"/>
        <v>27</v>
      </c>
      <c r="U10" s="39">
        <f t="shared" si="1"/>
        <v>6</v>
      </c>
      <c r="V10" s="39">
        <f t="shared" si="2"/>
        <v>0</v>
      </c>
    </row>
    <row r="11" spans="1:22" s="6" customFormat="1" ht="15" customHeight="1" x14ac:dyDescent="0.35">
      <c r="A11" s="58">
        <v>41950</v>
      </c>
      <c r="B11" s="59">
        <v>88</v>
      </c>
      <c r="C11" s="42" t="s">
        <v>52</v>
      </c>
      <c r="D11" s="60">
        <v>20322931795</v>
      </c>
      <c r="E11" s="66" t="s">
        <v>100</v>
      </c>
      <c r="F11" s="61" t="s">
        <v>102</v>
      </c>
      <c r="G11" s="62">
        <v>41799</v>
      </c>
      <c r="H11" s="61" t="s">
        <v>53</v>
      </c>
      <c r="I11" s="62" t="s">
        <v>53</v>
      </c>
      <c r="J11" s="62" t="s">
        <v>53</v>
      </c>
      <c r="K11" s="62">
        <v>31603</v>
      </c>
      <c r="L11" s="42" t="s">
        <v>54</v>
      </c>
      <c r="M11" s="60" t="s">
        <v>55</v>
      </c>
      <c r="N11" s="42">
        <v>8300</v>
      </c>
      <c r="O11" s="42" t="s">
        <v>5</v>
      </c>
      <c r="P11" s="42" t="s">
        <v>5</v>
      </c>
      <c r="Q11" s="42"/>
      <c r="R11" s="42"/>
      <c r="S11" s="42" t="s">
        <v>31</v>
      </c>
      <c r="T11" s="39">
        <f t="shared" si="0"/>
        <v>29</v>
      </c>
      <c r="U11" s="39">
        <f t="shared" si="1"/>
        <v>4</v>
      </c>
      <c r="V11" s="39">
        <f t="shared" si="2"/>
        <v>0</v>
      </c>
    </row>
    <row r="12" spans="1:22" s="6" customFormat="1" ht="15" customHeight="1" x14ac:dyDescent="0.35">
      <c r="A12" s="58">
        <v>41973</v>
      </c>
      <c r="B12" s="59">
        <v>52</v>
      </c>
      <c r="C12" s="42" t="s">
        <v>77</v>
      </c>
      <c r="D12" s="60">
        <v>24310004231</v>
      </c>
      <c r="E12" s="66" t="s">
        <v>100</v>
      </c>
      <c r="F12" s="61" t="s">
        <v>102</v>
      </c>
      <c r="G12" s="62">
        <v>40879</v>
      </c>
      <c r="H12" s="61" t="s">
        <v>12</v>
      </c>
      <c r="I12" s="62" t="s">
        <v>43</v>
      </c>
      <c r="J12" s="42" t="s">
        <v>43</v>
      </c>
      <c r="K12" s="62">
        <v>30954</v>
      </c>
      <c r="L12" s="42" t="s">
        <v>78</v>
      </c>
      <c r="M12" s="60">
        <v>154384225</v>
      </c>
      <c r="N12" s="42">
        <v>8300</v>
      </c>
      <c r="O12" s="42" t="s">
        <v>5</v>
      </c>
      <c r="P12" s="42" t="s">
        <v>5</v>
      </c>
      <c r="Q12" s="42"/>
      <c r="R12" s="42"/>
      <c r="S12" s="42" t="s">
        <v>31</v>
      </c>
      <c r="T12" s="39">
        <f t="shared" si="0"/>
        <v>28</v>
      </c>
      <c r="U12" s="39">
        <f t="shared" si="1"/>
        <v>11</v>
      </c>
      <c r="V12" s="39">
        <f t="shared" si="2"/>
        <v>2</v>
      </c>
    </row>
    <row r="13" spans="1:22" s="6" customFormat="1" ht="15" customHeight="1" x14ac:dyDescent="0.35">
      <c r="A13" s="58">
        <v>42003</v>
      </c>
      <c r="B13" s="59">
        <v>80</v>
      </c>
      <c r="C13" s="42" t="s">
        <v>92</v>
      </c>
      <c r="D13" s="60">
        <v>27356560421</v>
      </c>
      <c r="E13" s="66" t="s">
        <v>100</v>
      </c>
      <c r="F13" s="61" t="s">
        <v>102</v>
      </c>
      <c r="G13" s="62"/>
      <c r="H13" s="61" t="s">
        <v>25</v>
      </c>
      <c r="I13" s="60" t="s">
        <v>42</v>
      </c>
      <c r="J13" s="42" t="s">
        <v>43</v>
      </c>
      <c r="K13" s="62">
        <v>33243</v>
      </c>
      <c r="L13" s="42" t="s">
        <v>88</v>
      </c>
      <c r="M13" s="60">
        <v>154838129</v>
      </c>
      <c r="N13" s="42">
        <v>8300</v>
      </c>
      <c r="O13" s="42" t="s">
        <v>5</v>
      </c>
      <c r="P13" s="42" t="s">
        <v>5</v>
      </c>
      <c r="Q13" s="42" t="s">
        <v>98</v>
      </c>
      <c r="R13" s="42" t="s">
        <v>98</v>
      </c>
      <c r="S13" s="42" t="s">
        <v>15</v>
      </c>
      <c r="T13" s="39"/>
      <c r="U13" s="39"/>
      <c r="V13" s="39"/>
    </row>
  </sheetData>
  <customSheetViews>
    <customSheetView guid="{94CDC186-10C0-4483-96D9-E39804360A89}" scale="89" showPageBreaks="1" printArea="1">
      <pane ySplit="1" topLeftCell="A2" activePane="bottomLeft" state="frozen"/>
      <selection pane="bottomLeft" activeCell="A2" sqref="A2:A12"/>
      <pageMargins left="0.7" right="0.7" top="0.75" bottom="0.75" header="0.3" footer="0.3"/>
      <pageSetup paperSize="9" orientation="portrait" r:id="rId1"/>
    </customSheetView>
  </customSheetViews>
  <mergeCells count="1">
    <mergeCell ref="T1:V1"/>
  </mergeCells>
  <pageMargins left="0.7" right="0.7" top="0.75" bottom="0.75" header="0.3" footer="0.3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J28"/>
  <sheetViews>
    <sheetView workbookViewId="0">
      <selection activeCell="I24" sqref="I24"/>
    </sheetView>
  </sheetViews>
  <sheetFormatPr baseColWidth="10" defaultColWidth="11.53515625" defaultRowHeight="15" customHeight="1" x14ac:dyDescent="0.35"/>
  <cols>
    <col min="1" max="1" width="5.4609375" style="81" customWidth="1"/>
    <col min="2" max="2" width="24.23046875" style="44" customWidth="1"/>
    <col min="3" max="3" width="9.765625" style="44" bestFit="1" customWidth="1"/>
    <col min="4" max="4" width="11.53515625" style="44"/>
    <col min="5" max="5" width="10.53515625" style="81" bestFit="1" customWidth="1"/>
    <col min="6" max="6" width="20.765625" style="96" bestFit="1" customWidth="1"/>
    <col min="7" max="7" width="10.53515625" style="81" bestFit="1" customWidth="1"/>
    <col min="8" max="8" width="11.53515625" style="44"/>
    <col min="9" max="16384" width="11.53515625" style="12"/>
  </cols>
  <sheetData>
    <row r="1" spans="1:8" s="30" customFormat="1" ht="15" customHeight="1" thickBot="1" x14ac:dyDescent="0.4">
      <c r="A1" s="515" t="s">
        <v>263</v>
      </c>
      <c r="B1" s="515" t="s">
        <v>264</v>
      </c>
      <c r="C1" s="513" t="s">
        <v>0</v>
      </c>
      <c r="D1" s="509" t="s">
        <v>316</v>
      </c>
      <c r="E1" s="516" t="s">
        <v>0</v>
      </c>
      <c r="F1" s="511" t="s">
        <v>262</v>
      </c>
      <c r="G1" s="513" t="s">
        <v>0</v>
      </c>
      <c r="H1" s="509" t="s">
        <v>316</v>
      </c>
    </row>
    <row r="2" spans="1:8" s="30" customFormat="1" ht="15" customHeight="1" thickBot="1" x14ac:dyDescent="0.4">
      <c r="A2" s="511"/>
      <c r="B2" s="511"/>
      <c r="C2" s="514"/>
      <c r="D2" s="510"/>
      <c r="E2" s="517"/>
      <c r="F2" s="512"/>
      <c r="G2" s="514"/>
      <c r="H2" s="510"/>
    </row>
    <row r="3" spans="1:8" ht="18.75" hidden="1" customHeight="1" thickBot="1" x14ac:dyDescent="0.4">
      <c r="A3" s="104">
        <v>74</v>
      </c>
      <c r="B3" s="82" t="s">
        <v>62</v>
      </c>
      <c r="C3" s="88">
        <v>20364348097</v>
      </c>
      <c r="D3" s="104"/>
      <c r="E3" s="104"/>
      <c r="F3" s="104" t="s">
        <v>277</v>
      </c>
      <c r="G3" s="104" t="s">
        <v>279</v>
      </c>
      <c r="H3" s="104"/>
    </row>
    <row r="4" spans="1:8" ht="18.75" hidden="1" customHeight="1" thickBot="1" x14ac:dyDescent="0.4">
      <c r="A4" s="104">
        <v>115</v>
      </c>
      <c r="B4" s="82" t="s">
        <v>212</v>
      </c>
      <c r="C4" s="88">
        <v>20358858253</v>
      </c>
      <c r="D4" s="104"/>
      <c r="E4" s="104" t="s">
        <v>267</v>
      </c>
      <c r="F4" s="104" t="s">
        <v>266</v>
      </c>
      <c r="G4" s="104" t="s">
        <v>265</v>
      </c>
      <c r="H4" s="104"/>
    </row>
    <row r="5" spans="1:8" ht="18.75" hidden="1" customHeight="1" x14ac:dyDescent="0.35">
      <c r="A5" s="106">
        <v>103</v>
      </c>
      <c r="B5" s="84" t="s">
        <v>133</v>
      </c>
      <c r="C5" s="89">
        <v>20318117080</v>
      </c>
      <c r="D5" s="146"/>
      <c r="E5" s="85" t="s">
        <v>268</v>
      </c>
      <c r="F5" s="97" t="s">
        <v>269</v>
      </c>
      <c r="G5" s="90" t="s">
        <v>270</v>
      </c>
      <c r="H5" s="139"/>
    </row>
    <row r="6" spans="1:8" ht="18.75" hidden="1" customHeight="1" x14ac:dyDescent="0.35">
      <c r="A6" s="107"/>
      <c r="B6" s="24"/>
      <c r="C6" s="91"/>
      <c r="E6" s="79"/>
      <c r="F6" s="98" t="s">
        <v>271</v>
      </c>
      <c r="G6" s="92" t="s">
        <v>272</v>
      </c>
      <c r="H6" s="140"/>
    </row>
    <row r="7" spans="1:8" ht="18.75" hidden="1" customHeight="1" x14ac:dyDescent="0.35">
      <c r="A7" s="107"/>
      <c r="B7" s="24"/>
      <c r="C7" s="91"/>
      <c r="E7" s="79"/>
      <c r="F7" s="98" t="s">
        <v>273</v>
      </c>
      <c r="G7" s="92" t="s">
        <v>274</v>
      </c>
      <c r="H7" s="140"/>
    </row>
    <row r="8" spans="1:8" ht="18.75" hidden="1" customHeight="1" thickBot="1" x14ac:dyDescent="0.4">
      <c r="A8" s="108"/>
      <c r="B8" s="86"/>
      <c r="C8" s="93"/>
      <c r="D8" s="147"/>
      <c r="E8" s="87"/>
      <c r="F8" s="99" t="s">
        <v>275</v>
      </c>
      <c r="G8" s="94" t="s">
        <v>276</v>
      </c>
      <c r="H8" s="141"/>
    </row>
    <row r="9" spans="1:8" ht="18.75" hidden="1" customHeight="1" thickBot="1" x14ac:dyDescent="0.4">
      <c r="A9" s="126">
        <v>101</v>
      </c>
      <c r="B9" s="127" t="s">
        <v>128</v>
      </c>
      <c r="C9" s="128">
        <v>20322467614</v>
      </c>
      <c r="E9" s="129"/>
      <c r="F9" s="130" t="s">
        <v>11</v>
      </c>
      <c r="G9" s="131"/>
    </row>
    <row r="10" spans="1:8" ht="18.75" hidden="1" customHeight="1" thickBot="1" x14ac:dyDescent="0.4">
      <c r="A10" s="105">
        <v>39</v>
      </c>
      <c r="B10" s="82" t="s">
        <v>28</v>
      </c>
      <c r="C10" s="88">
        <v>20084313387</v>
      </c>
      <c r="E10" s="83" t="s">
        <v>278</v>
      </c>
      <c r="F10" s="102" t="s">
        <v>11</v>
      </c>
      <c r="G10" s="101"/>
    </row>
    <row r="11" spans="1:8" ht="18.75" hidden="1" customHeight="1" x14ac:dyDescent="0.35">
      <c r="A11" s="106">
        <v>37</v>
      </c>
      <c r="B11" s="84" t="s">
        <v>87</v>
      </c>
      <c r="C11" s="89">
        <v>27349651810</v>
      </c>
      <c r="E11" s="85" t="s">
        <v>280</v>
      </c>
      <c r="F11" s="97" t="s">
        <v>281</v>
      </c>
      <c r="G11" s="103" t="s">
        <v>283</v>
      </c>
    </row>
    <row r="12" spans="1:8" ht="18.75" hidden="1" customHeight="1" thickBot="1" x14ac:dyDescent="0.4">
      <c r="A12" s="108"/>
      <c r="B12" s="86"/>
      <c r="C12" s="93"/>
      <c r="E12" s="87"/>
      <c r="F12" s="99" t="s">
        <v>282</v>
      </c>
      <c r="G12" s="94" t="s">
        <v>284</v>
      </c>
    </row>
    <row r="13" spans="1:8" ht="18.75" hidden="1" customHeight="1" thickBot="1" x14ac:dyDescent="0.4">
      <c r="A13" s="105">
        <v>69</v>
      </c>
      <c r="B13" s="82" t="s">
        <v>17</v>
      </c>
      <c r="C13" s="88">
        <v>27232145809</v>
      </c>
      <c r="E13" s="83"/>
      <c r="F13" s="109" t="s">
        <v>286</v>
      </c>
      <c r="G13" s="101" t="s">
        <v>285</v>
      </c>
    </row>
    <row r="14" spans="1:8" ht="18.75" hidden="1" customHeight="1" x14ac:dyDescent="0.35">
      <c r="A14" s="106">
        <v>116</v>
      </c>
      <c r="B14" s="84" t="s">
        <v>230</v>
      </c>
      <c r="C14" s="89">
        <v>27209939318</v>
      </c>
      <c r="E14" s="85" t="s">
        <v>287</v>
      </c>
      <c r="F14" s="97" t="s">
        <v>288</v>
      </c>
      <c r="G14" s="103" t="s">
        <v>289</v>
      </c>
    </row>
    <row r="15" spans="1:8" ht="18.75" hidden="1" customHeight="1" thickBot="1" x14ac:dyDescent="0.4">
      <c r="A15" s="108"/>
      <c r="B15" s="86"/>
      <c r="C15" s="93"/>
      <c r="E15" s="87"/>
      <c r="F15" s="99" t="s">
        <v>290</v>
      </c>
      <c r="G15" s="94" t="s">
        <v>291</v>
      </c>
    </row>
    <row r="16" spans="1:8" ht="18.75" customHeight="1" x14ac:dyDescent="0.35">
      <c r="A16" s="106">
        <v>109</v>
      </c>
      <c r="B16" s="84" t="s">
        <v>148</v>
      </c>
      <c r="C16" s="132">
        <v>20239183892</v>
      </c>
      <c r="D16" s="142" t="s">
        <v>321</v>
      </c>
      <c r="E16" s="134"/>
      <c r="F16" s="97" t="s">
        <v>292</v>
      </c>
      <c r="G16" s="103" t="s">
        <v>293</v>
      </c>
      <c r="H16" s="148">
        <v>36289</v>
      </c>
    </row>
    <row r="17" spans="1:10" ht="18.75" customHeight="1" thickBot="1" x14ac:dyDescent="0.4">
      <c r="A17" s="108"/>
      <c r="B17" s="86"/>
      <c r="C17" s="133"/>
      <c r="D17" s="143"/>
      <c r="E17" s="135"/>
      <c r="F17" s="99" t="s">
        <v>294</v>
      </c>
      <c r="G17" s="94" t="s">
        <v>295</v>
      </c>
      <c r="H17" s="149">
        <v>37216</v>
      </c>
    </row>
    <row r="18" spans="1:10" ht="18.75" hidden="1" customHeight="1" x14ac:dyDescent="0.35">
      <c r="A18" s="106">
        <v>117</v>
      </c>
      <c r="B18" s="84" t="s">
        <v>252</v>
      </c>
      <c r="C18" s="110">
        <v>20321894578</v>
      </c>
      <c r="E18" s="85" t="s">
        <v>297</v>
      </c>
      <c r="F18" s="97" t="s">
        <v>298</v>
      </c>
      <c r="G18" s="103" t="s">
        <v>299</v>
      </c>
    </row>
    <row r="19" spans="1:10" ht="18.75" hidden="1" customHeight="1" thickBot="1" x14ac:dyDescent="0.4">
      <c r="A19" s="136"/>
      <c r="B19" s="112"/>
      <c r="C19" s="150"/>
      <c r="E19" s="114"/>
      <c r="F19" s="151" t="s">
        <v>300</v>
      </c>
      <c r="G19" s="137" t="s">
        <v>301</v>
      </c>
    </row>
    <row r="20" spans="1:10" ht="18.75" customHeight="1" x14ac:dyDescent="0.35">
      <c r="A20" s="106">
        <v>77</v>
      </c>
      <c r="B20" s="84" t="s">
        <v>21</v>
      </c>
      <c r="C20" s="89">
        <v>20265969179</v>
      </c>
      <c r="D20" s="152">
        <v>29616</v>
      </c>
      <c r="E20" s="85" t="s">
        <v>302</v>
      </c>
      <c r="F20" s="97" t="s">
        <v>303</v>
      </c>
      <c r="G20" s="103" t="s">
        <v>309</v>
      </c>
      <c r="H20" s="153">
        <v>36082</v>
      </c>
      <c r="J20" s="12" t="s">
        <v>336</v>
      </c>
    </row>
    <row r="21" spans="1:10" ht="18.75" customHeight="1" x14ac:dyDescent="0.35">
      <c r="A21" s="123"/>
      <c r="B21" s="46"/>
      <c r="C21" s="95"/>
      <c r="D21" s="24"/>
      <c r="E21" s="78"/>
      <c r="F21" s="100" t="s">
        <v>304</v>
      </c>
      <c r="G21" s="124" t="s">
        <v>305</v>
      </c>
      <c r="H21" s="154">
        <v>37133</v>
      </c>
      <c r="J21" s="12" t="s">
        <v>337</v>
      </c>
    </row>
    <row r="22" spans="1:10" ht="18.75" customHeight="1" x14ac:dyDescent="0.35">
      <c r="A22" s="107"/>
      <c r="B22" s="24"/>
      <c r="C22" s="91"/>
      <c r="D22" s="24"/>
      <c r="E22" s="79"/>
      <c r="F22" s="98" t="s">
        <v>306</v>
      </c>
      <c r="G22" s="92" t="s">
        <v>310</v>
      </c>
      <c r="H22" s="154">
        <v>38875</v>
      </c>
      <c r="J22" s="12" t="s">
        <v>338</v>
      </c>
    </row>
    <row r="23" spans="1:10" ht="18.75" customHeight="1" thickBot="1" x14ac:dyDescent="0.4">
      <c r="A23" s="108"/>
      <c r="B23" s="86"/>
      <c r="C23" s="93"/>
      <c r="D23" s="86"/>
      <c r="E23" s="87"/>
      <c r="F23" s="99" t="s">
        <v>307</v>
      </c>
      <c r="G23" s="94" t="s">
        <v>308</v>
      </c>
      <c r="H23" s="155">
        <v>41958</v>
      </c>
    </row>
    <row r="24" spans="1:10" ht="18.75" customHeight="1" x14ac:dyDescent="0.2">
      <c r="A24" s="156"/>
      <c r="B24" s="157" t="s">
        <v>38</v>
      </c>
      <c r="C24" s="158">
        <v>20233647870</v>
      </c>
      <c r="D24" s="159" t="s">
        <v>321</v>
      </c>
      <c r="E24" s="160"/>
      <c r="F24" s="161" t="s">
        <v>317</v>
      </c>
      <c r="G24" s="162">
        <v>39353882</v>
      </c>
      <c r="H24" s="163">
        <v>35097</v>
      </c>
      <c r="I24" s="171">
        <v>20393538822</v>
      </c>
    </row>
    <row r="25" spans="1:10" ht="18.75" customHeight="1" thickBot="1" x14ac:dyDescent="0.4">
      <c r="A25" s="164"/>
      <c r="B25" s="165"/>
      <c r="C25" s="166"/>
      <c r="D25" s="165"/>
      <c r="E25" s="167"/>
      <c r="F25" s="168" t="s">
        <v>318</v>
      </c>
      <c r="G25" s="169">
        <v>44040818</v>
      </c>
      <c r="H25" s="170">
        <v>37434</v>
      </c>
    </row>
    <row r="26" spans="1:10" ht="18.75" customHeight="1" x14ac:dyDescent="0.35">
      <c r="A26" s="106"/>
      <c r="B26" s="24" t="s">
        <v>105</v>
      </c>
      <c r="C26" s="40">
        <v>20304965380</v>
      </c>
      <c r="D26" s="146" t="s">
        <v>321</v>
      </c>
      <c r="E26" s="85"/>
      <c r="F26" s="97" t="s">
        <v>319</v>
      </c>
      <c r="G26" s="110">
        <v>53909202</v>
      </c>
      <c r="H26" s="145">
        <v>41803</v>
      </c>
    </row>
    <row r="27" spans="1:10" ht="18.75" customHeight="1" thickBot="1" x14ac:dyDescent="0.4">
      <c r="A27" s="108"/>
      <c r="B27" s="86"/>
      <c r="C27" s="93"/>
      <c r="D27" s="147"/>
      <c r="E27" s="87"/>
      <c r="F27" s="99" t="s">
        <v>320</v>
      </c>
      <c r="G27" s="138">
        <v>55303052</v>
      </c>
      <c r="H27" s="144">
        <v>42311</v>
      </c>
    </row>
    <row r="28" spans="1:10" ht="15" customHeight="1" x14ac:dyDescent="0.35">
      <c r="C28" s="15"/>
      <c r="E28" s="80"/>
    </row>
  </sheetData>
  <customSheetViews>
    <customSheetView guid="{94CDC186-10C0-4483-96D9-E39804360A89}" fitToPage="1">
      <selection activeCell="E18" sqref="E18"/>
      <pageMargins left="0.7" right="0.7" top="0.75" bottom="0.75" header="0.3" footer="0.3"/>
      <pageSetup paperSize="9" orientation="landscape" r:id="rId1"/>
    </customSheetView>
  </customSheetViews>
  <mergeCells count="8">
    <mergeCell ref="H1:H2"/>
    <mergeCell ref="F1:F2"/>
    <mergeCell ref="G1:G2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scale="79" orientation="landscape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N4"/>
  <sheetViews>
    <sheetView workbookViewId="0">
      <selection activeCell="C28" sqref="C28"/>
    </sheetView>
  </sheetViews>
  <sheetFormatPr baseColWidth="10" defaultRowHeight="15.5" x14ac:dyDescent="0.35"/>
  <cols>
    <col min="1" max="1" width="2.23046875" bestFit="1" customWidth="1"/>
    <col min="2" max="2" width="5.3046875" bestFit="1" customWidth="1"/>
    <col min="3" max="3" width="18.3046875" bestFit="1" customWidth="1"/>
    <col min="4" max="4" width="7.69140625" bestFit="1" customWidth="1"/>
    <col min="5" max="5" width="10.23046875" bestFit="1" customWidth="1"/>
    <col min="6" max="6" width="6.23046875" bestFit="1" customWidth="1"/>
    <col min="7" max="7" width="8.3046875" bestFit="1" customWidth="1"/>
    <col min="8" max="8" width="6.23046875" bestFit="1" customWidth="1"/>
    <col min="9" max="9" width="4.07421875" bestFit="1" customWidth="1"/>
    <col min="10" max="10" width="7.4609375" bestFit="1" customWidth="1"/>
    <col min="11" max="11" width="19.84375" bestFit="1" customWidth="1"/>
    <col min="12" max="12" width="23.23046875" bestFit="1" customWidth="1"/>
    <col min="13" max="13" width="17.23046875" bestFit="1" customWidth="1"/>
    <col min="14" max="14" width="17" bestFit="1" customWidth="1"/>
    <col min="15" max="15" width="3.84375" bestFit="1" customWidth="1"/>
    <col min="16" max="16" width="6.3046875" bestFit="1" customWidth="1"/>
    <col min="17" max="17" width="6.69140625" bestFit="1" customWidth="1"/>
    <col min="18" max="18" width="8.07421875" bestFit="1" customWidth="1"/>
    <col min="19" max="19" width="9" bestFit="1" customWidth="1"/>
    <col min="20" max="20" width="9.84375" bestFit="1" customWidth="1"/>
    <col min="21" max="25" width="6.23046875" bestFit="1" customWidth="1"/>
    <col min="26" max="26" width="5.07421875" bestFit="1" customWidth="1"/>
    <col min="27" max="27" width="10.23046875" bestFit="1" customWidth="1"/>
    <col min="28" max="28" width="20.69140625" bestFit="1" customWidth="1"/>
    <col min="29" max="29" width="5.07421875" bestFit="1" customWidth="1"/>
    <col min="30" max="30" width="12.3046875" bestFit="1" customWidth="1"/>
    <col min="31" max="31" width="5.07421875" bestFit="1" customWidth="1"/>
    <col min="32" max="32" width="12.3046875" bestFit="1" customWidth="1"/>
    <col min="33" max="33" width="5.07421875" bestFit="1" customWidth="1"/>
    <col min="34" max="34" width="12.3046875" bestFit="1" customWidth="1"/>
    <col min="35" max="35" width="6.53515625" bestFit="1" customWidth="1"/>
    <col min="36" max="36" width="6.4609375" bestFit="1" customWidth="1"/>
    <col min="37" max="37" width="9.84375" bestFit="1" customWidth="1"/>
    <col min="38" max="38" width="11.84375" bestFit="1" customWidth="1"/>
  </cols>
  <sheetData>
    <row r="1" spans="1:40" s="280" customFormat="1" ht="15" customHeight="1" thickBot="1" x14ac:dyDescent="0.4">
      <c r="A1" s="520" t="s">
        <v>99</v>
      </c>
      <c r="B1" s="520" t="s">
        <v>173</v>
      </c>
      <c r="C1" s="520" t="s">
        <v>174</v>
      </c>
      <c r="D1" s="520" t="s">
        <v>183</v>
      </c>
      <c r="E1" s="520" t="s">
        <v>0</v>
      </c>
      <c r="F1" s="518" t="s">
        <v>561</v>
      </c>
      <c r="G1" s="520" t="s">
        <v>181</v>
      </c>
      <c r="H1" s="520" t="s">
        <v>179</v>
      </c>
      <c r="I1" s="521" t="s">
        <v>184</v>
      </c>
      <c r="J1" s="520" t="s">
        <v>175</v>
      </c>
      <c r="K1" s="520" t="s">
        <v>192</v>
      </c>
      <c r="L1" s="520" t="s">
        <v>185</v>
      </c>
      <c r="M1" s="520" t="s">
        <v>176</v>
      </c>
      <c r="N1" s="520" t="s">
        <v>186</v>
      </c>
      <c r="O1" s="520" t="s">
        <v>8</v>
      </c>
      <c r="P1" s="520" t="s">
        <v>1</v>
      </c>
      <c r="Q1" s="520" t="s">
        <v>177</v>
      </c>
      <c r="R1" s="520" t="s">
        <v>180</v>
      </c>
      <c r="S1" s="520" t="s">
        <v>178</v>
      </c>
      <c r="T1" s="520" t="s">
        <v>191</v>
      </c>
      <c r="U1" s="520" t="s">
        <v>190</v>
      </c>
      <c r="V1" s="520" t="s">
        <v>182</v>
      </c>
      <c r="W1" s="520"/>
      <c r="X1" s="520"/>
      <c r="Y1" s="520" t="s">
        <v>22</v>
      </c>
      <c r="Z1" s="520" t="s">
        <v>23</v>
      </c>
      <c r="AA1" s="523" t="s">
        <v>9</v>
      </c>
      <c r="AB1" s="487" t="s">
        <v>322</v>
      </c>
      <c r="AC1" s="526" t="s">
        <v>344</v>
      </c>
      <c r="AD1" s="527"/>
      <c r="AE1" s="482" t="s">
        <v>347</v>
      </c>
      <c r="AF1" s="479"/>
      <c r="AG1" s="482" t="s">
        <v>349</v>
      </c>
      <c r="AH1" s="478"/>
      <c r="AI1" s="479"/>
      <c r="AJ1" s="482" t="s">
        <v>356</v>
      </c>
      <c r="AK1" s="478"/>
      <c r="AL1" s="479"/>
    </row>
    <row r="2" spans="1:40" s="280" customFormat="1" ht="15" customHeight="1" thickBot="1" x14ac:dyDescent="0.4">
      <c r="A2" s="518"/>
      <c r="B2" s="518"/>
      <c r="C2" s="518"/>
      <c r="D2" s="518"/>
      <c r="E2" s="518"/>
      <c r="F2" s="519"/>
      <c r="G2" s="518"/>
      <c r="H2" s="518"/>
      <c r="I2" s="522"/>
      <c r="J2" s="518"/>
      <c r="K2" s="518"/>
      <c r="L2" s="518"/>
      <c r="M2" s="518"/>
      <c r="N2" s="518"/>
      <c r="O2" s="518"/>
      <c r="P2" s="518"/>
      <c r="Q2" s="518"/>
      <c r="R2" s="518"/>
      <c r="S2" s="518"/>
      <c r="T2" s="518"/>
      <c r="U2" s="518"/>
      <c r="V2" s="377" t="s">
        <v>187</v>
      </c>
      <c r="W2" s="377" t="s">
        <v>188</v>
      </c>
      <c r="X2" s="377" t="s">
        <v>189</v>
      </c>
      <c r="Y2" s="518"/>
      <c r="Z2" s="518"/>
      <c r="AA2" s="524"/>
      <c r="AB2" s="525"/>
      <c r="AC2" s="281" t="s">
        <v>346</v>
      </c>
      <c r="AD2" s="281" t="s">
        <v>345</v>
      </c>
      <c r="AE2" s="282" t="s">
        <v>346</v>
      </c>
      <c r="AF2" s="283" t="s">
        <v>345</v>
      </c>
      <c r="AG2" s="282" t="s">
        <v>346</v>
      </c>
      <c r="AH2" s="283" t="s">
        <v>345</v>
      </c>
      <c r="AI2" s="283" t="s">
        <v>350</v>
      </c>
      <c r="AJ2" s="284" t="s">
        <v>354</v>
      </c>
      <c r="AK2" s="307" t="s">
        <v>352</v>
      </c>
      <c r="AL2" s="310" t="s">
        <v>353</v>
      </c>
    </row>
    <row r="3" spans="1:40" s="397" customFormat="1" ht="15" customHeight="1" thickTop="1" x14ac:dyDescent="0.35">
      <c r="A3" s="247">
        <v>1</v>
      </c>
      <c r="B3" s="367"/>
      <c r="C3" s="232" t="s">
        <v>764</v>
      </c>
      <c r="D3" s="315">
        <v>20558676</v>
      </c>
      <c r="E3" s="368">
        <v>27205586763</v>
      </c>
      <c r="F3" s="368"/>
      <c r="G3" s="369">
        <v>44783</v>
      </c>
      <c r="H3" s="234"/>
      <c r="I3" s="235"/>
      <c r="J3" s="236"/>
      <c r="K3" s="237" t="s">
        <v>771</v>
      </c>
      <c r="L3" s="370" t="s">
        <v>772</v>
      </c>
      <c r="M3" s="371" t="s">
        <v>765</v>
      </c>
      <c r="N3" s="371"/>
      <c r="O3" s="370"/>
      <c r="P3" s="371"/>
      <c r="Q3" s="371"/>
      <c r="R3" s="237"/>
      <c r="S3" s="371">
        <v>2944615534</v>
      </c>
      <c r="T3" s="233"/>
      <c r="U3" s="233"/>
      <c r="V3" s="238"/>
      <c r="W3" s="238"/>
      <c r="X3" s="238"/>
      <c r="Y3" s="371"/>
      <c r="Z3" s="371"/>
      <c r="AA3" s="371"/>
      <c r="AB3" s="371"/>
      <c r="AC3" s="239"/>
      <c r="AD3" s="375"/>
      <c r="AE3" s="239"/>
      <c r="AF3" s="375"/>
      <c r="AG3" s="239"/>
      <c r="AH3" s="370"/>
      <c r="AI3" s="372"/>
      <c r="AJ3" s="240"/>
      <c r="AK3" s="373"/>
      <c r="AL3" s="396"/>
      <c r="AN3" s="398"/>
    </row>
    <row r="4" spans="1:40" s="12" customFormat="1" ht="15" customHeight="1" x14ac:dyDescent="0.35">
      <c r="A4" s="318">
        <v>2</v>
      </c>
      <c r="B4" s="378"/>
      <c r="C4" s="379" t="s">
        <v>766</v>
      </c>
      <c r="D4" s="380">
        <v>22409171</v>
      </c>
      <c r="E4" s="381">
        <v>27224091716</v>
      </c>
      <c r="F4" s="381"/>
      <c r="G4" s="382">
        <v>44766</v>
      </c>
      <c r="H4" s="383"/>
      <c r="I4" s="384"/>
      <c r="J4" s="318"/>
      <c r="K4" s="387" t="s">
        <v>769</v>
      </c>
      <c r="L4" s="386" t="s">
        <v>770</v>
      </c>
      <c r="M4" s="387" t="s">
        <v>767</v>
      </c>
      <c r="N4" s="387"/>
      <c r="O4" s="386"/>
      <c r="P4" s="387"/>
      <c r="Q4" s="387"/>
      <c r="R4" s="385"/>
      <c r="S4" s="387">
        <v>2993327818</v>
      </c>
      <c r="T4" s="388"/>
      <c r="U4" s="388"/>
      <c r="V4" s="389"/>
      <c r="W4" s="389"/>
      <c r="X4" s="389"/>
      <c r="Y4" s="387"/>
      <c r="Z4" s="387"/>
      <c r="AA4" s="387"/>
      <c r="AB4" s="387"/>
      <c r="AC4" s="390"/>
      <c r="AD4" s="391"/>
      <c r="AE4" s="390"/>
      <c r="AF4" s="391"/>
      <c r="AG4" s="390"/>
      <c r="AH4" s="386"/>
      <c r="AI4" s="392"/>
      <c r="AJ4" s="393"/>
      <c r="AK4" s="394"/>
      <c r="AL4" s="395"/>
      <c r="AN4" s="224"/>
    </row>
  </sheetData>
  <mergeCells count="30">
    <mergeCell ref="AJ1:AL1"/>
    <mergeCell ref="S1:S2"/>
    <mergeCell ref="T1:T2"/>
    <mergeCell ref="U1:U2"/>
    <mergeCell ref="V1:X1"/>
    <mergeCell ref="Y1:Y2"/>
    <mergeCell ref="Z1:Z2"/>
    <mergeCell ref="AA1:AA2"/>
    <mergeCell ref="AB1:AB2"/>
    <mergeCell ref="AC1:AD1"/>
    <mergeCell ref="AE1:AF1"/>
    <mergeCell ref="AG1:AI1"/>
    <mergeCell ref="R1:R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9"/>
  <sheetViews>
    <sheetView workbookViewId="0">
      <selection activeCell="J17" sqref="J17"/>
    </sheetView>
  </sheetViews>
  <sheetFormatPr baseColWidth="10" defaultRowHeight="15.5" x14ac:dyDescent="0.35"/>
  <sheetData>
    <row r="1" spans="1:5" x14ac:dyDescent="0.35">
      <c r="A1" t="s">
        <v>952</v>
      </c>
      <c r="D1" t="s">
        <v>26</v>
      </c>
      <c r="E1" t="s">
        <v>973</v>
      </c>
    </row>
    <row r="2" spans="1:5" x14ac:dyDescent="0.35">
      <c r="A2" t="s">
        <v>953</v>
      </c>
      <c r="D2" s="458" t="s">
        <v>42</v>
      </c>
      <c r="E2" t="s">
        <v>974</v>
      </c>
    </row>
    <row r="3" spans="1:5" x14ac:dyDescent="0.35">
      <c r="A3" t="s">
        <v>954</v>
      </c>
      <c r="D3" t="s">
        <v>95</v>
      </c>
      <c r="E3" t="s">
        <v>975</v>
      </c>
    </row>
    <row r="4" spans="1:5" x14ac:dyDescent="0.35">
      <c r="A4" t="s">
        <v>955</v>
      </c>
      <c r="D4" t="s">
        <v>69</v>
      </c>
      <c r="E4" t="s">
        <v>976</v>
      </c>
    </row>
    <row r="5" spans="1:5" x14ac:dyDescent="0.35">
      <c r="D5" t="s">
        <v>81</v>
      </c>
      <c r="E5" t="s">
        <v>455</v>
      </c>
    </row>
    <row r="6" spans="1:5" x14ac:dyDescent="0.35">
      <c r="A6" t="s">
        <v>956</v>
      </c>
      <c r="D6" t="s">
        <v>126</v>
      </c>
      <c r="E6" t="s">
        <v>977</v>
      </c>
    </row>
    <row r="7" spans="1:5" x14ac:dyDescent="0.35">
      <c r="A7" t="s">
        <v>810</v>
      </c>
      <c r="D7" t="s">
        <v>227</v>
      </c>
      <c r="E7" t="s">
        <v>978</v>
      </c>
    </row>
    <row r="8" spans="1:5" x14ac:dyDescent="0.35">
      <c r="A8" t="s">
        <v>971</v>
      </c>
      <c r="D8" t="s">
        <v>117</v>
      </c>
      <c r="E8" t="s">
        <v>343</v>
      </c>
    </row>
    <row r="9" spans="1:5" x14ac:dyDescent="0.35">
      <c r="A9" t="s">
        <v>959</v>
      </c>
      <c r="D9" t="s">
        <v>120</v>
      </c>
      <c r="E9" t="s">
        <v>979</v>
      </c>
    </row>
    <row r="10" spans="1:5" x14ac:dyDescent="0.35">
      <c r="A10" t="s">
        <v>961</v>
      </c>
      <c r="D10" t="s">
        <v>348</v>
      </c>
      <c r="E10" t="s">
        <v>980</v>
      </c>
    </row>
    <row r="11" spans="1:5" x14ac:dyDescent="0.35">
      <c r="A11" t="s">
        <v>957</v>
      </c>
      <c r="D11" t="s">
        <v>206</v>
      </c>
      <c r="E11" t="s">
        <v>981</v>
      </c>
    </row>
    <row r="12" spans="1:5" x14ac:dyDescent="0.35">
      <c r="A12" t="s">
        <v>958</v>
      </c>
      <c r="D12" t="s">
        <v>969</v>
      </c>
    </row>
    <row r="13" spans="1:5" x14ac:dyDescent="0.35">
      <c r="A13" t="s">
        <v>960</v>
      </c>
      <c r="D13" s="458" t="s">
        <v>987</v>
      </c>
      <c r="E13" s="458" t="s">
        <v>985</v>
      </c>
    </row>
    <row r="14" spans="1:5" x14ac:dyDescent="0.35">
      <c r="A14" t="s">
        <v>962</v>
      </c>
      <c r="E14" s="458" t="s">
        <v>986</v>
      </c>
    </row>
    <row r="15" spans="1:5" x14ac:dyDescent="0.35">
      <c r="A15" t="s">
        <v>562</v>
      </c>
      <c r="E15" s="458" t="s">
        <v>24</v>
      </c>
    </row>
    <row r="16" spans="1:5" x14ac:dyDescent="0.35">
      <c r="A16" t="s">
        <v>563</v>
      </c>
      <c r="E16" s="458" t="s">
        <v>396</v>
      </c>
    </row>
    <row r="17" spans="1:5" x14ac:dyDescent="0.35">
      <c r="A17" t="s">
        <v>970</v>
      </c>
    </row>
    <row r="18" spans="1:5" x14ac:dyDescent="0.35">
      <c r="A18" t="s">
        <v>982</v>
      </c>
    </row>
    <row r="19" spans="1:5" x14ac:dyDescent="0.35">
      <c r="A19" t="s">
        <v>964</v>
      </c>
      <c r="E19" s="458" t="s">
        <v>989</v>
      </c>
    </row>
    <row r="20" spans="1:5" x14ac:dyDescent="0.35">
      <c r="A20" t="s">
        <v>963</v>
      </c>
      <c r="E20" s="458" t="s">
        <v>990</v>
      </c>
    </row>
    <row r="21" spans="1:5" x14ac:dyDescent="0.35">
      <c r="A21" t="s">
        <v>965</v>
      </c>
      <c r="E21" s="458" t="s">
        <v>24</v>
      </c>
    </row>
    <row r="22" spans="1:5" x14ac:dyDescent="0.35">
      <c r="A22" t="s">
        <v>777</v>
      </c>
      <c r="E22" s="458" t="s">
        <v>396</v>
      </c>
    </row>
    <row r="23" spans="1:5" x14ac:dyDescent="0.35">
      <c r="A23" t="s">
        <v>966</v>
      </c>
    </row>
    <row r="24" spans="1:5" x14ac:dyDescent="0.35">
      <c r="A24" t="s">
        <v>967</v>
      </c>
    </row>
    <row r="25" spans="1:5" x14ac:dyDescent="0.35">
      <c r="A25" t="s">
        <v>968</v>
      </c>
      <c r="E25" t="s">
        <v>1007</v>
      </c>
    </row>
    <row r="26" spans="1:5" x14ac:dyDescent="0.35">
      <c r="E26" t="s">
        <v>1008</v>
      </c>
    </row>
    <row r="27" spans="1:5" x14ac:dyDescent="0.35">
      <c r="E27" t="s">
        <v>1009</v>
      </c>
    </row>
    <row r="28" spans="1:5" x14ac:dyDescent="0.35">
      <c r="E28" t="s">
        <v>1010</v>
      </c>
    </row>
    <row r="29" spans="1:5" x14ac:dyDescent="0.35">
      <c r="E29" t="s">
        <v>1011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2</vt:i4>
      </vt:variant>
    </vt:vector>
  </HeadingPairs>
  <TitlesOfParts>
    <vt:vector size="18" baseType="lpstr">
      <vt:lpstr>PERSONAL</vt:lpstr>
      <vt:lpstr>Bajas 2025</vt:lpstr>
      <vt:lpstr>Bajas 2024</vt:lpstr>
      <vt:lpstr>Bajas 2023</vt:lpstr>
      <vt:lpstr>Bajas 2022</vt:lpstr>
      <vt:lpstr>Bajas 2021</vt:lpstr>
      <vt:lpstr>Bajas 2020</vt:lpstr>
      <vt:lpstr>Bajas 2019</vt:lpstr>
      <vt:lpstr>Bajas 2018</vt:lpstr>
      <vt:lpstr>Bajas 2017</vt:lpstr>
      <vt:lpstr>Bajas 2016</vt:lpstr>
      <vt:lpstr>Bajas 2015</vt:lpstr>
      <vt:lpstr>Bajas 2014</vt:lpstr>
      <vt:lpstr>Imp Gcias 2016</vt:lpstr>
      <vt:lpstr>Personal Particular</vt:lpstr>
      <vt:lpstr>DATOS</vt:lpstr>
      <vt:lpstr>'Bajas 2014'!Área_de_impresión</vt:lpstr>
      <vt:lpstr>'Bajas 2015'!Área_de_impresión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Recepción</dc:creator>
  <cp:lastModifiedBy>Ariel Costallat</cp:lastModifiedBy>
  <cp:lastPrinted>2025-07-23T12:59:49Z</cp:lastPrinted>
  <dcterms:created xsi:type="dcterms:W3CDTF">2007-11-28T17:05:23Z</dcterms:created>
  <dcterms:modified xsi:type="dcterms:W3CDTF">2025-10-09T18:20:14Z</dcterms:modified>
</cp:coreProperties>
</file>