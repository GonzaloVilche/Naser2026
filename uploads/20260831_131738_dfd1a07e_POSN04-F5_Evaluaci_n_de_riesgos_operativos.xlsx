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istema de Gestion\1 SG Documentos\"/>
    </mc:Choice>
  </mc:AlternateContent>
  <xr:revisionPtr revIDLastSave="0" documentId="13_ncr:1_{E6433E13-788A-433E-A5F5-42D05095C75A}" xr6:coauthVersionLast="47" xr6:coauthVersionMax="47" xr10:uidLastSave="{00000000-0000-0000-0000-000000000000}"/>
  <bookViews>
    <workbookView xWindow="-120" yWindow="-16320" windowWidth="29040" windowHeight="15720" xr2:uid="{E67F2EAC-DEF8-4447-8214-ECFA00449683}"/>
  </bookViews>
  <sheets>
    <sheet name="Ev" sheetId="1" r:id="rId1"/>
    <sheet name="Da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9" i="1" l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8" i="1"/>
</calcChain>
</file>

<file path=xl/sharedStrings.xml><?xml version="1.0" encoding="utf-8"?>
<sst xmlns="http://schemas.openxmlformats.org/spreadsheetml/2006/main" count="117" uniqueCount="109">
  <si>
    <t>TAREA</t>
  </si>
  <si>
    <t>FACTORES DEL POZO</t>
  </si>
  <si>
    <t>Calibre</t>
  </si>
  <si>
    <t>Fresado</t>
  </si>
  <si>
    <t>Desparafinación</t>
  </si>
  <si>
    <t>Gradiente Estático</t>
  </si>
  <si>
    <t>Gradiente Dinámico</t>
  </si>
  <si>
    <t>Pescar Conjunto de Plunger Lift</t>
  </si>
  <si>
    <t>Fijar Conjunto de Plunger Lift</t>
  </si>
  <si>
    <t>Pescar Válvulas de Recuperación Sec.</t>
  </si>
  <si>
    <t>Fijar Válvulas de Recuperación Sec.</t>
  </si>
  <si>
    <t>Pescar Válvulas de Gas Lift</t>
  </si>
  <si>
    <t>Fijar Válvulas de Gas Lift</t>
  </si>
  <si>
    <t>Ensayo de ILT</t>
  </si>
  <si>
    <t>Ensayo de PLT</t>
  </si>
  <si>
    <t>Calibre de casing con Dummy</t>
  </si>
  <si>
    <t>Apertura de CMD</t>
  </si>
  <si>
    <t>Cierre de CMD</t>
  </si>
  <si>
    <t>Fijar Tapón</t>
  </si>
  <si>
    <t>Recuperar Tapón</t>
  </si>
  <si>
    <t>Impresor</t>
  </si>
  <si>
    <t>Perfil de corrosión con Caliper</t>
  </si>
  <si>
    <t>Pesca de Alambre</t>
  </si>
  <si>
    <t>Pesca de Tren de Herramientas</t>
  </si>
  <si>
    <t>Pesca de Capilar</t>
  </si>
  <si>
    <t>Pistoneo</t>
  </si>
  <si>
    <t>Presencia de Arena</t>
  </si>
  <si>
    <t>Presencia de Parafina</t>
  </si>
  <si>
    <t>Desviación &gt;30°</t>
  </si>
  <si>
    <t>Detección de fugas</t>
  </si>
  <si>
    <t>Pozo de Gas</t>
  </si>
  <si>
    <t>Pozo de Petróleo y Gas</t>
  </si>
  <si>
    <t>Pozo de Agua</t>
  </si>
  <si>
    <t>Presencia de Hidratos</t>
  </si>
  <si>
    <t>Presencia de Corrosión</t>
  </si>
  <si>
    <t>Presencia de H2S</t>
  </si>
  <si>
    <t>Condición Estática</t>
  </si>
  <si>
    <t>Condición Dinámica</t>
  </si>
  <si>
    <t>Presencia de Productos Corrosivos</t>
  </si>
  <si>
    <t>Alambre 0.092"</t>
  </si>
  <si>
    <t>Alambre 0.108"</t>
  </si>
  <si>
    <t>Alambre 0.125"</t>
  </si>
  <si>
    <t>2 Lubricadores</t>
  </si>
  <si>
    <t>3 Lubricadores</t>
  </si>
  <si>
    <t>FACTORES DE COMUNICACIÓN</t>
  </si>
  <si>
    <t>Distancia &gt; 300 km</t>
  </si>
  <si>
    <t>Comunicación inestable</t>
  </si>
  <si>
    <t>Falta de información</t>
  </si>
  <si>
    <t>Cañería 
2 3/8"</t>
  </si>
  <si>
    <t>Cañería 
2 7/8"</t>
  </si>
  <si>
    <t>Cañería 
3 1/2"</t>
  </si>
  <si>
    <t>Cañería 
5 1/8"</t>
  </si>
  <si>
    <t>MEDIDAS</t>
  </si>
  <si>
    <t>FLUENCIA</t>
  </si>
  <si>
    <t>AMBIENTE DEL POZO</t>
  </si>
  <si>
    <t>FLUIDOS</t>
  </si>
  <si>
    <t>Toma de muestra de líquidos</t>
  </si>
  <si>
    <t>Fijar Memory Gauge</t>
  </si>
  <si>
    <t>Presencia de herramientas en Pesca</t>
  </si>
  <si>
    <t>Temperatura &gt; 50°C</t>
  </si>
  <si>
    <t>FACTORES DE OPERACIÓN</t>
  </si>
  <si>
    <t>Operación conjunta con Hot Oil</t>
  </si>
  <si>
    <t>Operación conjunta con Vapor</t>
  </si>
  <si>
    <t>Operación conjunta Herramientas</t>
  </si>
  <si>
    <t>Operación estándar</t>
  </si>
  <si>
    <t>Realizar PH</t>
  </si>
  <si>
    <t>FACTORES PERSONALES</t>
  </si>
  <si>
    <t>Menos de 5 años de experiencia</t>
  </si>
  <si>
    <t>Entre 5 y 10 años de experiencia</t>
  </si>
  <si>
    <t>Más de 10 años de experiencia</t>
  </si>
  <si>
    <t>Operación conjunta con Inyección de fluidos</t>
  </si>
  <si>
    <t>BHA
 1"</t>
  </si>
  <si>
    <t>BHA
 1 1/2"</t>
  </si>
  <si>
    <t>BHA
 1 3/4"</t>
  </si>
  <si>
    <t>BHA
 2"</t>
  </si>
  <si>
    <t>Barra de Tungsteno</t>
  </si>
  <si>
    <t>Rotulas</t>
  </si>
  <si>
    <t>Quick Lock</t>
  </si>
  <si>
    <t>Tool-Catcher</t>
  </si>
  <si>
    <t>4 Lubricadores</t>
  </si>
  <si>
    <t>Torque Hidráulico</t>
  </si>
  <si>
    <t>Sin experiencia en la tarea</t>
  </si>
  <si>
    <t>Asignar Supervisor</t>
  </si>
  <si>
    <t>Barra Espaciadora</t>
  </si>
  <si>
    <t>Tijera Hidráulica</t>
  </si>
  <si>
    <t>BHA asegurado con Pescador</t>
  </si>
  <si>
    <t>Horario nocturno</t>
  </si>
  <si>
    <t>RIESGO DE LA OPERACIÓN</t>
  </si>
  <si>
    <t>CONDICIONES CLIMÁTICAS</t>
  </si>
  <si>
    <t>Lluvia</t>
  </si>
  <si>
    <t>Viento</t>
  </si>
  <si>
    <t>Nieve</t>
  </si>
  <si>
    <t>Pozo de Petróleo</t>
  </si>
  <si>
    <t>Soleado</t>
  </si>
  <si>
    <t>Presión &lt; 3000 Psi</t>
  </si>
  <si>
    <t>Presión &gt; 3000 Psi</t>
  </si>
  <si>
    <t>Alambre Acero Inoxidable 0,108"</t>
  </si>
  <si>
    <t>Pluma de Izaje</t>
  </si>
  <si>
    <t>Hidrogrúa</t>
  </si>
  <si>
    <t>Grúa</t>
  </si>
  <si>
    <t>Cañería Revestida</t>
  </si>
  <si>
    <t>SI</t>
  </si>
  <si>
    <t>NO</t>
  </si>
  <si>
    <t>MITIGACION Y EQUIPAMIENTO</t>
  </si>
  <si>
    <t>BAJO</t>
  </si>
  <si>
    <t>MEDIO</t>
  </si>
  <si>
    <t>ALTO</t>
  </si>
  <si>
    <t>EVALUACION DE RIESGOS OPERATIVOS</t>
  </si>
  <si>
    <t>POSN04-F5
Rev.00 Sep.25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</si>
</sst>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6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15875</xdr:rowOff>
    </xdr:from>
    <xdr:to>
      <xdr:col>1</xdr:col>
      <xdr:colOff>352425</xdr:colOff>
      <xdr:row>2</xdr:row>
      <xdr:rowOff>143305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BCFC5E-EE4C-1EC0-244B-5CE3A21B7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5875"/>
          <a:ext cx="981075" cy="489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3AFB-B593-4E19-A30C-2F1B81B33BE1}">
  <dimension ref="A1:BO41"/>
  <sheetViews>
    <sheetView tabSelected="1" workbookViewId="0">
      <selection activeCell="B4" sqref="B4"/>
    </sheetView>
  </sheetViews>
  <sheetFormatPr baseColWidth="10" defaultRowHeight="14.5" x14ac:dyDescent="0.35"/>
  <cols>
    <col min="17" max="17" width="11.453125" customWidth="1"/>
    <col min="25" max="25" width="12.453125" customWidth="1"/>
    <col min="26" max="26" width="11.453125" customWidth="1"/>
    <col min="30" max="30" width="12.81640625" customWidth="1"/>
    <col min="37" max="37" width="13.6328125" customWidth="1"/>
    <col min="47" max="49" width="12.1796875" customWidth="1"/>
    <col min="50" max="51" width="12" customWidth="1"/>
    <col min="52" max="52" width="12.1796875" customWidth="1"/>
    <col min="53" max="57" width="12" customWidth="1"/>
    <col min="65" max="65" width="11.6328125" customWidth="1"/>
  </cols>
  <sheetData>
    <row r="1" spans="1:67" x14ac:dyDescent="0.35">
      <c r="A1" s="13"/>
      <c r="B1" s="13"/>
      <c r="C1" s="17" t="s">
        <v>107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8" t="s">
        <v>108</v>
      </c>
      <c r="BO1" s="17"/>
    </row>
    <row r="2" spans="1:67" x14ac:dyDescent="0.35">
      <c r="A2" s="13"/>
      <c r="B2" s="13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</row>
    <row r="3" spans="1:67" x14ac:dyDescent="0.35">
      <c r="A3" s="13"/>
      <c r="B3" s="13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</row>
    <row r="5" spans="1:67" ht="14.5" customHeight="1" x14ac:dyDescent="0.35">
      <c r="A5" s="12" t="s">
        <v>0</v>
      </c>
      <c r="B5" s="12"/>
      <c r="C5" s="12"/>
      <c r="D5" s="12" t="s">
        <v>1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 t="s">
        <v>60</v>
      </c>
      <c r="AB5" s="12"/>
      <c r="AC5" s="12"/>
      <c r="AD5" s="12"/>
      <c r="AE5" s="12"/>
      <c r="AF5" s="12" t="s">
        <v>66</v>
      </c>
      <c r="AG5" s="12"/>
      <c r="AH5" s="12"/>
      <c r="AI5" s="12"/>
      <c r="AJ5" s="12" t="s">
        <v>44</v>
      </c>
      <c r="AK5" s="12"/>
      <c r="AL5" s="12"/>
      <c r="AM5" s="12" t="s">
        <v>88</v>
      </c>
      <c r="AN5" s="12"/>
      <c r="AO5" s="12"/>
      <c r="AP5" s="12"/>
      <c r="AQ5" s="10" t="s">
        <v>87</v>
      </c>
      <c r="AR5" s="11" t="s">
        <v>103</v>
      </c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</row>
    <row r="6" spans="1:67" x14ac:dyDescent="0.35">
      <c r="A6" s="12"/>
      <c r="B6" s="12"/>
      <c r="C6" s="12"/>
      <c r="D6" s="14" t="s">
        <v>52</v>
      </c>
      <c r="E6" s="14"/>
      <c r="F6" s="14"/>
      <c r="G6" s="14"/>
      <c r="H6" s="4"/>
      <c r="I6" s="16" t="s">
        <v>55</v>
      </c>
      <c r="J6" s="16"/>
      <c r="K6" s="16"/>
      <c r="L6" s="16"/>
      <c r="M6" s="15" t="s">
        <v>53</v>
      </c>
      <c r="N6" s="15"/>
      <c r="O6" s="14" t="s">
        <v>54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0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</row>
    <row r="7" spans="1:67" ht="72.5" x14ac:dyDescent="0.35">
      <c r="A7" s="12"/>
      <c r="B7" s="12"/>
      <c r="C7" s="12"/>
      <c r="D7" s="1" t="s">
        <v>48</v>
      </c>
      <c r="E7" s="1" t="s">
        <v>49</v>
      </c>
      <c r="F7" s="1" t="s">
        <v>50</v>
      </c>
      <c r="G7" s="1" t="s">
        <v>51</v>
      </c>
      <c r="H7" s="1" t="s">
        <v>100</v>
      </c>
      <c r="I7" s="2" t="s">
        <v>31</v>
      </c>
      <c r="J7" s="2" t="s">
        <v>92</v>
      </c>
      <c r="K7" s="2" t="s">
        <v>30</v>
      </c>
      <c r="L7" s="3" t="s">
        <v>32</v>
      </c>
      <c r="M7" s="8" t="s">
        <v>36</v>
      </c>
      <c r="N7" s="8" t="s">
        <v>37</v>
      </c>
      <c r="O7" s="1" t="s">
        <v>94</v>
      </c>
      <c r="P7" s="1" t="s">
        <v>95</v>
      </c>
      <c r="Q7" s="1" t="s">
        <v>59</v>
      </c>
      <c r="R7" s="1" t="s">
        <v>28</v>
      </c>
      <c r="S7" s="1" t="s">
        <v>26</v>
      </c>
      <c r="T7" s="1" t="s">
        <v>27</v>
      </c>
      <c r="U7" s="1" t="s">
        <v>33</v>
      </c>
      <c r="V7" s="1" t="s">
        <v>34</v>
      </c>
      <c r="W7" s="1" t="s">
        <v>38</v>
      </c>
      <c r="X7" s="1" t="s">
        <v>35</v>
      </c>
      <c r="Y7" s="1" t="s">
        <v>58</v>
      </c>
      <c r="Z7" s="1" t="s">
        <v>47</v>
      </c>
      <c r="AA7" s="1" t="s">
        <v>61</v>
      </c>
      <c r="AB7" s="1" t="s">
        <v>62</v>
      </c>
      <c r="AC7" s="1" t="s">
        <v>70</v>
      </c>
      <c r="AD7" s="1" t="s">
        <v>63</v>
      </c>
      <c r="AE7" s="1" t="s">
        <v>64</v>
      </c>
      <c r="AF7" s="2" t="s">
        <v>81</v>
      </c>
      <c r="AG7" s="2" t="s">
        <v>67</v>
      </c>
      <c r="AH7" s="2" t="s">
        <v>68</v>
      </c>
      <c r="AI7" s="2" t="s">
        <v>69</v>
      </c>
      <c r="AJ7" s="1" t="s">
        <v>45</v>
      </c>
      <c r="AK7" s="1" t="s">
        <v>46</v>
      </c>
      <c r="AL7" s="1" t="s">
        <v>86</v>
      </c>
      <c r="AM7" s="2" t="s">
        <v>89</v>
      </c>
      <c r="AN7" s="2" t="s">
        <v>90</v>
      </c>
      <c r="AO7" s="2" t="s">
        <v>91</v>
      </c>
      <c r="AP7" s="2" t="s">
        <v>93</v>
      </c>
      <c r="AQ7" s="10"/>
      <c r="AR7" s="5" t="s">
        <v>39</v>
      </c>
      <c r="AS7" s="5" t="s">
        <v>40</v>
      </c>
      <c r="AT7" s="5" t="s">
        <v>41</v>
      </c>
      <c r="AU7" s="5" t="s">
        <v>96</v>
      </c>
      <c r="AV7" s="5" t="s">
        <v>71</v>
      </c>
      <c r="AW7" s="5" t="s">
        <v>72</v>
      </c>
      <c r="AX7" s="5" t="s">
        <v>73</v>
      </c>
      <c r="AY7" s="5" t="s">
        <v>74</v>
      </c>
      <c r="AZ7" s="5" t="s">
        <v>42</v>
      </c>
      <c r="BA7" s="5" t="s">
        <v>43</v>
      </c>
      <c r="BB7" s="5" t="s">
        <v>79</v>
      </c>
      <c r="BC7" s="5" t="s">
        <v>97</v>
      </c>
      <c r="BD7" s="5" t="s">
        <v>98</v>
      </c>
      <c r="BE7" s="5" t="s">
        <v>99</v>
      </c>
      <c r="BF7" s="2" t="s">
        <v>82</v>
      </c>
      <c r="BG7" s="2" t="s">
        <v>78</v>
      </c>
      <c r="BH7" s="2" t="s">
        <v>75</v>
      </c>
      <c r="BI7" s="2" t="s">
        <v>76</v>
      </c>
      <c r="BJ7" s="2" t="s">
        <v>77</v>
      </c>
      <c r="BK7" s="2" t="s">
        <v>80</v>
      </c>
      <c r="BL7" s="2" t="s">
        <v>65</v>
      </c>
      <c r="BM7" s="2" t="s">
        <v>83</v>
      </c>
      <c r="BN7" s="2" t="s">
        <v>84</v>
      </c>
      <c r="BO7" s="2" t="s">
        <v>85</v>
      </c>
    </row>
    <row r="8" spans="1:67" ht="23" customHeight="1" x14ac:dyDescent="0.35">
      <c r="A8" s="13" t="s">
        <v>2</v>
      </c>
      <c r="B8" s="13"/>
      <c r="C8" s="13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>
        <f>SUM(N8:AP8)</f>
        <v>0</v>
      </c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</row>
    <row r="9" spans="1:67" ht="22" customHeight="1" x14ac:dyDescent="0.35">
      <c r="A9" s="13"/>
      <c r="B9" s="13"/>
      <c r="C9" s="13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>
        <f t="shared" ref="AQ9:AQ41" si="0">SUM(N9:AP9)</f>
        <v>0</v>
      </c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</row>
    <row r="10" spans="1:67" ht="22" customHeight="1" x14ac:dyDescent="0.35">
      <c r="A10" s="13"/>
      <c r="B10" s="13"/>
      <c r="C10" s="13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>
        <f t="shared" si="0"/>
        <v>0</v>
      </c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</row>
    <row r="11" spans="1:67" ht="22" customHeight="1" x14ac:dyDescent="0.35">
      <c r="A11" s="13"/>
      <c r="B11" s="13"/>
      <c r="C11" s="13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>
        <f t="shared" si="0"/>
        <v>0</v>
      </c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</row>
    <row r="12" spans="1:67" ht="22" customHeight="1" x14ac:dyDescent="0.35">
      <c r="A12" s="13"/>
      <c r="B12" s="13"/>
      <c r="C12" s="13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>
        <f t="shared" si="0"/>
        <v>0</v>
      </c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</row>
    <row r="13" spans="1:67" ht="22" customHeight="1" x14ac:dyDescent="0.35">
      <c r="A13" s="13"/>
      <c r="B13" s="13"/>
      <c r="C13" s="13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>
        <f t="shared" si="0"/>
        <v>0</v>
      </c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</row>
    <row r="14" spans="1:67" ht="22" customHeight="1" x14ac:dyDescent="0.35">
      <c r="A14" s="13"/>
      <c r="B14" s="13"/>
      <c r="C14" s="13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>
        <f t="shared" si="0"/>
        <v>0</v>
      </c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</row>
    <row r="15" spans="1:67" ht="22" customHeight="1" x14ac:dyDescent="0.35">
      <c r="A15" s="13"/>
      <c r="B15" s="13"/>
      <c r="C15" s="13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>
        <f t="shared" si="0"/>
        <v>0</v>
      </c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</row>
    <row r="16" spans="1:67" ht="22" customHeight="1" x14ac:dyDescent="0.35">
      <c r="A16" s="13"/>
      <c r="B16" s="13"/>
      <c r="C16" s="13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>
        <f t="shared" si="0"/>
        <v>0</v>
      </c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</row>
    <row r="17" spans="1:67" ht="22" customHeight="1" x14ac:dyDescent="0.35">
      <c r="A17" s="13"/>
      <c r="B17" s="13"/>
      <c r="C17" s="13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>
        <f t="shared" si="0"/>
        <v>0</v>
      </c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</row>
    <row r="18" spans="1:67" ht="22" customHeight="1" x14ac:dyDescent="0.35">
      <c r="A18" s="13"/>
      <c r="B18" s="13"/>
      <c r="C18" s="13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>
        <f t="shared" si="0"/>
        <v>0</v>
      </c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</row>
    <row r="19" spans="1:67" ht="22" customHeight="1" x14ac:dyDescent="0.35">
      <c r="A19" s="13"/>
      <c r="B19" s="13"/>
      <c r="C19" s="13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>
        <f t="shared" si="0"/>
        <v>0</v>
      </c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</row>
    <row r="20" spans="1:67" ht="22" customHeight="1" x14ac:dyDescent="0.35">
      <c r="A20" s="13"/>
      <c r="B20" s="13"/>
      <c r="C20" s="13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>
        <f t="shared" si="0"/>
        <v>0</v>
      </c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</row>
    <row r="21" spans="1:67" ht="22" customHeight="1" x14ac:dyDescent="0.35">
      <c r="A21" s="13"/>
      <c r="B21" s="13"/>
      <c r="C21" s="13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>
        <f t="shared" si="0"/>
        <v>0</v>
      </c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</row>
    <row r="22" spans="1:67" ht="22" customHeight="1" x14ac:dyDescent="0.35">
      <c r="A22" s="13"/>
      <c r="B22" s="13"/>
      <c r="C22" s="13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>
        <f t="shared" si="0"/>
        <v>0</v>
      </c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</row>
    <row r="23" spans="1:67" ht="22" customHeight="1" x14ac:dyDescent="0.35">
      <c r="A23" s="13"/>
      <c r="B23" s="13"/>
      <c r="C23" s="13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>
        <f t="shared" si="0"/>
        <v>0</v>
      </c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</row>
    <row r="24" spans="1:67" ht="22" customHeight="1" x14ac:dyDescent="0.35">
      <c r="A24" s="13"/>
      <c r="B24" s="13"/>
      <c r="C24" s="13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>
        <f t="shared" si="0"/>
        <v>0</v>
      </c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</row>
    <row r="25" spans="1:67" ht="22" customHeight="1" x14ac:dyDescent="0.35">
      <c r="A25" s="13"/>
      <c r="B25" s="13"/>
      <c r="C25" s="13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>
        <f t="shared" si="0"/>
        <v>0</v>
      </c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</row>
    <row r="26" spans="1:67" ht="22" customHeight="1" x14ac:dyDescent="0.35">
      <c r="A26" s="13"/>
      <c r="B26" s="13"/>
      <c r="C26" s="13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>
        <f t="shared" si="0"/>
        <v>0</v>
      </c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</row>
    <row r="27" spans="1:67" ht="22" customHeight="1" x14ac:dyDescent="0.35">
      <c r="A27" s="13"/>
      <c r="B27" s="13"/>
      <c r="C27" s="13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>
        <f t="shared" si="0"/>
        <v>0</v>
      </c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</row>
    <row r="28" spans="1:67" ht="22" customHeight="1" x14ac:dyDescent="0.35">
      <c r="A28" s="13"/>
      <c r="B28" s="13"/>
      <c r="C28" s="13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>
        <f t="shared" si="0"/>
        <v>0</v>
      </c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</row>
    <row r="29" spans="1:67" ht="22" customHeight="1" x14ac:dyDescent="0.35">
      <c r="A29" s="13"/>
      <c r="B29" s="13"/>
      <c r="C29" s="13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>
        <f t="shared" si="0"/>
        <v>0</v>
      </c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</row>
    <row r="30" spans="1:67" ht="22" customHeight="1" x14ac:dyDescent="0.35">
      <c r="A30" s="13"/>
      <c r="B30" s="13"/>
      <c r="C30" s="13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>
        <f t="shared" si="0"/>
        <v>0</v>
      </c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</row>
    <row r="31" spans="1:67" ht="22" customHeight="1" x14ac:dyDescent="0.35">
      <c r="A31" s="13"/>
      <c r="B31" s="13"/>
      <c r="C31" s="13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>
        <f t="shared" si="0"/>
        <v>0</v>
      </c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</row>
    <row r="32" spans="1:67" ht="22" customHeight="1" x14ac:dyDescent="0.35">
      <c r="A32" s="13"/>
      <c r="B32" s="13"/>
      <c r="C32" s="13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>
        <f t="shared" si="0"/>
        <v>0</v>
      </c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</row>
    <row r="33" spans="1:67" ht="22" customHeight="1" x14ac:dyDescent="0.35">
      <c r="A33" s="13"/>
      <c r="B33" s="13"/>
      <c r="C33" s="13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>
        <f t="shared" si="0"/>
        <v>0</v>
      </c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</row>
    <row r="34" spans="1:67" ht="22" customHeight="1" x14ac:dyDescent="0.35">
      <c r="A34" s="13"/>
      <c r="B34" s="13"/>
      <c r="C34" s="13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>
        <f t="shared" si="0"/>
        <v>0</v>
      </c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</row>
    <row r="35" spans="1:67" ht="22" customHeight="1" x14ac:dyDescent="0.35">
      <c r="A35" s="13"/>
      <c r="B35" s="13"/>
      <c r="C35" s="13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>
        <f t="shared" si="0"/>
        <v>0</v>
      </c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</row>
    <row r="36" spans="1:67" ht="22" customHeight="1" x14ac:dyDescent="0.35">
      <c r="A36" s="13"/>
      <c r="B36" s="13"/>
      <c r="C36" s="13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>
        <f t="shared" si="0"/>
        <v>0</v>
      </c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</row>
    <row r="37" spans="1:67" ht="22" customHeight="1" x14ac:dyDescent="0.35">
      <c r="A37" s="13"/>
      <c r="B37" s="13"/>
      <c r="C37" s="13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>
        <f t="shared" si="0"/>
        <v>0</v>
      </c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</row>
    <row r="38" spans="1:67" ht="22" customHeight="1" x14ac:dyDescent="0.35">
      <c r="A38" s="13"/>
      <c r="B38" s="13"/>
      <c r="C38" s="13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>
        <f t="shared" si="0"/>
        <v>0</v>
      </c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</row>
    <row r="39" spans="1:67" ht="22" customHeight="1" x14ac:dyDescent="0.35">
      <c r="A39" s="13"/>
      <c r="B39" s="13"/>
      <c r="C39" s="13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>
        <f t="shared" si="0"/>
        <v>0</v>
      </c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</row>
    <row r="40" spans="1:67" ht="22" customHeight="1" x14ac:dyDescent="0.35">
      <c r="A40" s="13"/>
      <c r="B40" s="13"/>
      <c r="C40" s="13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>
        <f t="shared" si="0"/>
        <v>0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</row>
    <row r="41" spans="1:67" ht="22" customHeight="1" x14ac:dyDescent="0.35">
      <c r="A41" s="13"/>
      <c r="B41" s="13"/>
      <c r="C41" s="13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>
        <f t="shared" si="0"/>
        <v>0</v>
      </c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</row>
  </sheetData>
  <mergeCells count="49">
    <mergeCell ref="A12:C12"/>
    <mergeCell ref="O6:Z6"/>
    <mergeCell ref="D5:Z5"/>
    <mergeCell ref="AA5:AE6"/>
    <mergeCell ref="AJ5:AL6"/>
    <mergeCell ref="AF5:AI6"/>
    <mergeCell ref="D6:G6"/>
    <mergeCell ref="M6:N6"/>
    <mergeCell ref="I6:L6"/>
    <mergeCell ref="A8:C8"/>
    <mergeCell ref="A9:C9"/>
    <mergeCell ref="A10:C10"/>
    <mergeCell ref="A13:C13"/>
    <mergeCell ref="A21:C21"/>
    <mergeCell ref="A22:C22"/>
    <mergeCell ref="A23:C23"/>
    <mergeCell ref="A24:C24"/>
    <mergeCell ref="A20:C20"/>
    <mergeCell ref="A25:C25"/>
    <mergeCell ref="A38:C38"/>
    <mergeCell ref="A39:C39"/>
    <mergeCell ref="A28:C28"/>
    <mergeCell ref="A29:C29"/>
    <mergeCell ref="A30:C30"/>
    <mergeCell ref="A31:C31"/>
    <mergeCell ref="A37:C37"/>
    <mergeCell ref="A40:C40"/>
    <mergeCell ref="A41:C41"/>
    <mergeCell ref="A11:C11"/>
    <mergeCell ref="A14:C14"/>
    <mergeCell ref="A15:C15"/>
    <mergeCell ref="A16:C16"/>
    <mergeCell ref="A17:C17"/>
    <mergeCell ref="A18:C18"/>
    <mergeCell ref="A32:C32"/>
    <mergeCell ref="A33:C33"/>
    <mergeCell ref="A34:C34"/>
    <mergeCell ref="A35:C35"/>
    <mergeCell ref="A36:C36"/>
    <mergeCell ref="A26:C26"/>
    <mergeCell ref="A27:C27"/>
    <mergeCell ref="A19:C19"/>
    <mergeCell ref="AQ5:AQ7"/>
    <mergeCell ref="AR5:BO6"/>
    <mergeCell ref="AM5:AP6"/>
    <mergeCell ref="A5:C7"/>
    <mergeCell ref="A1:B3"/>
    <mergeCell ref="C1:BM3"/>
    <mergeCell ref="BN1:BO3"/>
  </mergeCells>
  <conditionalFormatting sqref="N8:N41">
    <cfRule type="cellIs" dxfId="16" priority="12" operator="equal">
      <formula>10</formula>
    </cfRule>
  </conditionalFormatting>
  <conditionalFormatting sqref="O8:O41">
    <cfRule type="cellIs" dxfId="15" priority="14" operator="equal">
      <formula>2</formula>
    </cfRule>
  </conditionalFormatting>
  <conditionalFormatting sqref="P8:R41">
    <cfRule type="cellIs" dxfId="14" priority="8" operator="equal">
      <formula>3</formula>
    </cfRule>
  </conditionalFormatting>
  <conditionalFormatting sqref="S8:S41">
    <cfRule type="cellIs" dxfId="13" priority="16" operator="equal">
      <formula>2</formula>
    </cfRule>
  </conditionalFormatting>
  <conditionalFormatting sqref="T8:T41">
    <cfRule type="cellIs" dxfId="12" priority="15" operator="equal">
      <formula>1</formula>
    </cfRule>
  </conditionalFormatting>
  <conditionalFormatting sqref="U8:U41">
    <cfRule type="cellIs" dxfId="11" priority="11" operator="equal">
      <formula>10</formula>
    </cfRule>
  </conditionalFormatting>
  <conditionalFormatting sqref="V8:Y41">
    <cfRule type="cellIs" dxfId="10" priority="7" operator="equal">
      <formula>3</formula>
    </cfRule>
  </conditionalFormatting>
  <conditionalFormatting sqref="Z8:Z41">
    <cfRule type="cellIs" dxfId="9" priority="9" operator="equal">
      <formula>21</formula>
    </cfRule>
  </conditionalFormatting>
  <conditionalFormatting sqref="AA8:AD41">
    <cfRule type="cellIs" dxfId="8" priority="13" operator="equal">
      <formula>2</formula>
    </cfRule>
  </conditionalFormatting>
  <conditionalFormatting sqref="AF8:AF41">
    <cfRule type="cellIs" dxfId="7" priority="5" operator="equal">
      <formula>10</formula>
    </cfRule>
  </conditionalFormatting>
  <conditionalFormatting sqref="AG8:AG41">
    <cfRule type="cellIs" dxfId="6" priority="4" operator="equal">
      <formula>5</formula>
    </cfRule>
  </conditionalFormatting>
  <conditionalFormatting sqref="AH8:AH41">
    <cfRule type="cellIs" dxfId="5" priority="20" operator="equal">
      <formula>1</formula>
    </cfRule>
  </conditionalFormatting>
  <conditionalFormatting sqref="AJ8:AO41">
    <cfRule type="cellIs" dxfId="4" priority="6" operator="equal">
      <formula>3</formula>
    </cfRule>
  </conditionalFormatting>
  <conditionalFormatting sqref="AP8:AP41">
    <cfRule type="cellIs" dxfId="3" priority="25" operator="equal">
      <formula>1</formula>
    </cfRule>
  </conditionalFormatting>
  <conditionalFormatting sqref="AQ8:AQ41">
    <cfRule type="cellIs" dxfId="2" priority="1" operator="between">
      <formula>51</formula>
      <formula>110</formula>
    </cfRule>
    <cfRule type="cellIs" dxfId="1" priority="2" operator="between">
      <formula>21</formula>
      <formula>50</formula>
    </cfRule>
    <cfRule type="cellIs" dxfId="0" priority="3" operator="between">
      <formula>0</formula>
      <formula>20</formula>
    </cfRule>
  </conditionalFormatting>
  <pageMargins left="0.7" right="0.7" top="0.75" bottom="0.75" header="0.3" footer="0.3"/>
  <pageSetup paperSize="9" orientation="landscape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882A1D0-8F8F-458C-AA63-8FB78F4C42AF}">
          <x14:formula1>
            <xm:f>Datos!$A$1:$A$2</xm:f>
          </x14:formula1>
          <xm:sqref>AE8:AE41</xm:sqref>
        </x14:dataValidation>
        <x14:dataValidation type="list" allowBlank="1" showInputMessage="1" showErrorMessage="1" xr:uid="{B2C76B6F-2A0B-4C64-B4B4-62F38BCE8A60}">
          <x14:formula1>
            <xm:f>Datos!$C$2:$C$3</xm:f>
          </x14:formula1>
          <xm:sqref>P8:R41 AJ8:AL41 V8:Y41</xm:sqref>
        </x14:dataValidation>
        <x14:dataValidation type="list" allowBlank="1" showInputMessage="1" showErrorMessage="1" xr:uid="{7C044568-B1C9-4570-9984-C53F5D6D54BE}">
          <x14:formula1>
            <xm:f>Datos!$A$2:$A$5</xm:f>
          </x14:formula1>
          <xm:sqref>AM8:AO41</xm:sqref>
        </x14:dataValidation>
        <x14:dataValidation type="list" allowBlank="1" showInputMessage="1" showErrorMessage="1" xr:uid="{0343403C-2D16-4A93-8E43-64ED57EDBC75}">
          <x14:formula1>
            <xm:f>Datos!$A$2:$A$3</xm:f>
          </x14:formula1>
          <xm:sqref>AP8:AP41 AH8:AH41 T8:T41</xm:sqref>
        </x14:dataValidation>
        <x14:dataValidation type="list" allowBlank="1" showInputMessage="1" showErrorMessage="1" xr:uid="{E02919FB-AC03-47ED-867D-1912EFCF2CF5}">
          <x14:formula1>
            <xm:f>Datos!$B$2:$B$3</xm:f>
          </x14:formula1>
          <xm:sqref>AA8:AD41 S8:S41 O8:O41</xm:sqref>
        </x14:dataValidation>
        <x14:dataValidation type="list" allowBlank="1" showInputMessage="1" showErrorMessage="1" xr:uid="{36CB1282-9707-4300-8080-7F4285404C50}">
          <x14:formula1>
            <xm:f>Datos!$A$2</xm:f>
          </x14:formula1>
          <xm:sqref>AI8:AI41</xm:sqref>
        </x14:dataValidation>
        <x14:dataValidation type="list" allowBlank="1" showInputMessage="1" showErrorMessage="1" xr:uid="{740500A9-DBD4-4B46-85DA-6338907D6512}">
          <x14:formula1>
            <xm:f>Datos!$E$2:$E$3</xm:f>
          </x14:formula1>
          <xm:sqref>N8:N41 U8:U41 AF8:AF41</xm:sqref>
        </x14:dataValidation>
        <x14:dataValidation type="list" allowBlank="1" showInputMessage="1" showErrorMessage="1" xr:uid="{576D46C8-E51D-4C9D-AA28-974454801E08}">
          <x14:formula1>
            <xm:f>Datos!$G$2:$G$3</xm:f>
          </x14:formula1>
          <xm:sqref>Z8:Z41</xm:sqref>
        </x14:dataValidation>
        <x14:dataValidation type="list" allowBlank="1" showInputMessage="1" showErrorMessage="1" xr:uid="{B45E4C68-A697-4615-B7B2-8CBFAF0FA7E7}">
          <x14:formula1>
            <xm:f>Datos!$D$2:$D$3</xm:f>
          </x14:formula1>
          <xm:sqref>AG8:AG41</xm:sqref>
        </x14:dataValidation>
        <x14:dataValidation type="list" allowBlank="1" showInputMessage="1" showErrorMessage="1" xr:uid="{2B3A4F93-A065-4D3F-82F5-D9E81C3AC74D}">
          <x14:formula1>
            <xm:f>Datos!$H$1:$H$35</xm:f>
          </x14:formula1>
          <xm:sqref>A8:C41</xm:sqref>
        </x14:dataValidation>
        <x14:dataValidation type="list" allowBlank="1" showInputMessage="1" showErrorMessage="1" xr:uid="{3A0FECF3-FA9A-4F09-8940-06FAE35F92AE}">
          <x14:formula1>
            <xm:f>Datos!$A$8:$A$10</xm:f>
          </x14:formula1>
          <xm:sqref>D8:L41 AR8:BO41</xm:sqref>
        </x14:dataValidation>
        <x14:dataValidation type="list" allowBlank="1" showInputMessage="1" showErrorMessage="1" xr:uid="{B430C97E-2288-40C8-8544-7725531B43F3}">
          <x14:formula1>
            <xm:f>Datos!$A$9</xm:f>
          </x14:formula1>
          <xm:sqref>M8:M41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71C2-AA48-4D72-A1FD-DA1647E2824B}">
  <dimension ref="A2:J35"/>
  <sheetViews>
    <sheetView workbookViewId="0">
      <selection activeCell="B9" sqref="B9:D11"/>
    </sheetView>
  </sheetViews>
  <sheetFormatPr baseColWidth="10" defaultRowHeight="14.5" x14ac:dyDescent="0.35"/>
  <cols>
    <col min="8" max="8" width="33" customWidth="1"/>
  </cols>
  <sheetData>
    <row r="2" spans="1:10" x14ac:dyDescent="0.35">
      <c r="A2">
        <v>0</v>
      </c>
      <c r="B2">
        <v>0</v>
      </c>
      <c r="C2">
        <v>0</v>
      </c>
      <c r="D2">
        <v>0</v>
      </c>
      <c r="E2">
        <v>0</v>
      </c>
      <c r="F2">
        <v>5</v>
      </c>
      <c r="G2">
        <v>0</v>
      </c>
      <c r="H2" s="7" t="s">
        <v>2</v>
      </c>
      <c r="I2" s="7"/>
      <c r="J2" s="7"/>
    </row>
    <row r="3" spans="1:10" x14ac:dyDescent="0.35">
      <c r="A3">
        <v>1</v>
      </c>
      <c r="B3">
        <v>2</v>
      </c>
      <c r="C3">
        <v>3</v>
      </c>
      <c r="D3">
        <v>5</v>
      </c>
      <c r="E3">
        <v>10</v>
      </c>
      <c r="F3">
        <v>10</v>
      </c>
      <c r="G3">
        <v>21</v>
      </c>
      <c r="H3" s="7" t="s">
        <v>3</v>
      </c>
      <c r="I3" s="7"/>
      <c r="J3" s="7"/>
    </row>
    <row r="4" spans="1:10" x14ac:dyDescent="0.35">
      <c r="A4">
        <v>2</v>
      </c>
      <c r="H4" s="7" t="s">
        <v>4</v>
      </c>
      <c r="I4" s="7"/>
      <c r="J4" s="7"/>
    </row>
    <row r="5" spans="1:10" x14ac:dyDescent="0.35">
      <c r="A5">
        <v>3</v>
      </c>
      <c r="H5" s="7" t="s">
        <v>20</v>
      </c>
      <c r="I5" s="7"/>
      <c r="J5" s="7"/>
    </row>
    <row r="6" spans="1:10" x14ac:dyDescent="0.35">
      <c r="H6" s="7" t="s">
        <v>5</v>
      </c>
      <c r="I6" s="7"/>
      <c r="J6" s="7"/>
    </row>
    <row r="7" spans="1:10" x14ac:dyDescent="0.35">
      <c r="H7" s="7" t="s">
        <v>6</v>
      </c>
      <c r="I7" s="7"/>
      <c r="J7" s="7"/>
    </row>
    <row r="8" spans="1:10" x14ac:dyDescent="0.35">
      <c r="H8" s="7" t="s">
        <v>22</v>
      </c>
      <c r="I8" s="7"/>
      <c r="J8" s="7"/>
    </row>
    <row r="9" spans="1:10" x14ac:dyDescent="0.35">
      <c r="A9" t="s">
        <v>101</v>
      </c>
      <c r="B9" s="6" t="s">
        <v>104</v>
      </c>
      <c r="C9" s="6">
        <v>0</v>
      </c>
      <c r="D9" s="6">
        <v>20</v>
      </c>
      <c r="H9" s="7" t="s">
        <v>23</v>
      </c>
      <c r="I9" s="7"/>
      <c r="J9" s="7"/>
    </row>
    <row r="10" spans="1:10" x14ac:dyDescent="0.35">
      <c r="A10" t="s">
        <v>102</v>
      </c>
      <c r="B10" s="6" t="s">
        <v>105</v>
      </c>
      <c r="C10" s="6">
        <v>21</v>
      </c>
      <c r="D10" s="6">
        <v>50</v>
      </c>
      <c r="H10" s="7" t="s">
        <v>24</v>
      </c>
      <c r="I10" s="7"/>
      <c r="J10" s="7"/>
    </row>
    <row r="11" spans="1:10" x14ac:dyDescent="0.35">
      <c r="B11" s="6" t="s">
        <v>106</v>
      </c>
      <c r="C11" s="6">
        <v>51</v>
      </c>
      <c r="D11" s="6">
        <v>110</v>
      </c>
      <c r="H11" s="7" t="s">
        <v>25</v>
      </c>
      <c r="I11" s="7"/>
      <c r="J11" s="7"/>
    </row>
    <row r="12" spans="1:10" x14ac:dyDescent="0.35">
      <c r="H12" s="7" t="s">
        <v>29</v>
      </c>
      <c r="I12" s="7"/>
      <c r="J12" s="7"/>
    </row>
    <row r="13" spans="1:10" x14ac:dyDescent="0.35">
      <c r="H13" s="7" t="s">
        <v>56</v>
      </c>
      <c r="I13" s="7"/>
      <c r="J13" s="7"/>
    </row>
    <row r="14" spans="1:10" x14ac:dyDescent="0.35">
      <c r="H14" s="7" t="s">
        <v>57</v>
      </c>
      <c r="I14" s="7"/>
      <c r="J14" s="7"/>
    </row>
    <row r="15" spans="1:10" x14ac:dyDescent="0.35">
      <c r="H15" s="7" t="s">
        <v>7</v>
      </c>
      <c r="I15" s="7"/>
      <c r="J15" s="7"/>
    </row>
    <row r="16" spans="1:10" x14ac:dyDescent="0.35">
      <c r="H16" s="7" t="s">
        <v>8</v>
      </c>
      <c r="I16" s="7"/>
      <c r="J16" s="7"/>
    </row>
    <row r="17" spans="8:10" x14ac:dyDescent="0.35">
      <c r="H17" s="7" t="s">
        <v>9</v>
      </c>
      <c r="I17" s="7"/>
      <c r="J17" s="7"/>
    </row>
    <row r="18" spans="8:10" x14ac:dyDescent="0.35">
      <c r="H18" s="7" t="s">
        <v>10</v>
      </c>
      <c r="I18" s="7"/>
      <c r="J18" s="7"/>
    </row>
    <row r="19" spans="8:10" x14ac:dyDescent="0.35">
      <c r="H19" s="7" t="s">
        <v>11</v>
      </c>
      <c r="I19" s="7"/>
      <c r="J19" s="7"/>
    </row>
    <row r="20" spans="8:10" x14ac:dyDescent="0.35">
      <c r="H20" s="7" t="s">
        <v>12</v>
      </c>
      <c r="I20" s="7"/>
      <c r="J20" s="7"/>
    </row>
    <row r="21" spans="8:10" x14ac:dyDescent="0.35">
      <c r="H21" s="7" t="s">
        <v>13</v>
      </c>
      <c r="I21" s="7"/>
      <c r="J21" s="7"/>
    </row>
    <row r="22" spans="8:10" x14ac:dyDescent="0.35">
      <c r="H22" s="7" t="s">
        <v>14</v>
      </c>
      <c r="I22" s="7"/>
      <c r="J22" s="7"/>
    </row>
    <row r="23" spans="8:10" x14ac:dyDescent="0.35">
      <c r="H23" s="7" t="s">
        <v>15</v>
      </c>
      <c r="I23" s="7"/>
      <c r="J23" s="7"/>
    </row>
    <row r="24" spans="8:10" x14ac:dyDescent="0.35">
      <c r="H24" s="7" t="s">
        <v>16</v>
      </c>
      <c r="I24" s="7"/>
      <c r="J24" s="7"/>
    </row>
    <row r="25" spans="8:10" x14ac:dyDescent="0.35">
      <c r="H25" s="7" t="s">
        <v>17</v>
      </c>
      <c r="I25" s="7"/>
      <c r="J25" s="7"/>
    </row>
    <row r="26" spans="8:10" x14ac:dyDescent="0.35">
      <c r="H26" s="7" t="s">
        <v>18</v>
      </c>
      <c r="I26" s="7"/>
      <c r="J26" s="7"/>
    </row>
    <row r="27" spans="8:10" x14ac:dyDescent="0.35">
      <c r="H27" s="7" t="s">
        <v>19</v>
      </c>
      <c r="I27" s="7"/>
      <c r="J27" s="7"/>
    </row>
    <row r="28" spans="8:10" x14ac:dyDescent="0.35">
      <c r="H28" s="7" t="s">
        <v>21</v>
      </c>
      <c r="I28" s="7"/>
      <c r="J28" s="7"/>
    </row>
    <row r="29" spans="8:10" x14ac:dyDescent="0.35">
      <c r="H29" s="7" t="s">
        <v>0</v>
      </c>
      <c r="I29" s="7"/>
      <c r="J29" s="7"/>
    </row>
    <row r="30" spans="8:10" x14ac:dyDescent="0.35">
      <c r="H30" s="7" t="s">
        <v>0</v>
      </c>
      <c r="I30" s="7"/>
      <c r="J30" s="7"/>
    </row>
    <row r="31" spans="8:10" x14ac:dyDescent="0.35">
      <c r="H31" s="7" t="s">
        <v>0</v>
      </c>
      <c r="I31" s="7"/>
      <c r="J31" s="7"/>
    </row>
    <row r="32" spans="8:10" x14ac:dyDescent="0.35">
      <c r="H32" s="7" t="s">
        <v>0</v>
      </c>
      <c r="I32" s="7"/>
      <c r="J32" s="7"/>
    </row>
    <row r="33" spans="8:10" x14ac:dyDescent="0.35">
      <c r="H33" s="7" t="s">
        <v>0</v>
      </c>
      <c r="I33" s="7"/>
      <c r="J33" s="7"/>
    </row>
    <row r="34" spans="8:10" x14ac:dyDescent="0.35">
      <c r="H34" s="7" t="s">
        <v>0</v>
      </c>
      <c r="I34" s="7"/>
      <c r="J34" s="7"/>
    </row>
    <row r="35" spans="8:10" x14ac:dyDescent="0.35">
      <c r="H35" s="7" t="s">
        <v>0</v>
      </c>
      <c r="I35" s="7"/>
      <c r="J3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Costallat</dc:creator>
  <cp:lastModifiedBy>Ariel Costallat</cp:lastModifiedBy>
  <dcterms:created xsi:type="dcterms:W3CDTF">2025-09-09T14:49:21Z</dcterms:created>
  <dcterms:modified xsi:type="dcterms:W3CDTF">2025-09-16T11:38:39Z</dcterms:modified>
</cp:coreProperties>
</file>