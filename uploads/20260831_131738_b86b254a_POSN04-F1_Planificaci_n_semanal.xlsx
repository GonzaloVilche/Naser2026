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PO-SN-04 Planificación del servicio\"/>
    </mc:Choice>
  </mc:AlternateContent>
  <xr:revisionPtr revIDLastSave="0" documentId="13_ncr:1_{76883883-2787-499A-9A67-DCADB4AFE8B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lanificacion semanal" sheetId="1" r:id="rId1"/>
    <sheet name="VEHICULOS" sheetId="4" r:id="rId2"/>
    <sheet name="Recursos NSR" sheetId="2" r:id="rId3"/>
  </sheets>
  <definedNames>
    <definedName name="_xlnm.Print_Area" localSheetId="1">VEHICULOS!$B$26:$G$27</definedName>
    <definedName name="Z_256C284C_5CD3_4D0B_B83D_CC764CDB01FB_.wvu.PrintArea" localSheetId="1" hidden="1">VEHICULOS!$P$60:$Q$68</definedName>
    <definedName name="Z_32ADCA73_A043_4FBA_9630_FDAFA5602754_.wvu.PrintArea" localSheetId="1" hidden="1">VEHICULOS!$P$60:$Q$68</definedName>
    <definedName name="Z_7A5378B3_9CB2_4354_A728_160759FEC57D_.wvu.PrintArea" localSheetId="1" hidden="1">VEHICULOS!$P$60:$Q$68</definedName>
    <definedName name="Z_7A5378B3_9CB2_4354_A728_160759FEC57D_.wvu.Rows" localSheetId="1" hidden="1">VEHICULOS!#REF!</definedName>
    <definedName name="Z_98FCD9EB_B4B8_4C60_A64B_58580B7D57EE_.wvu.PrintArea" localSheetId="1" hidden="1">VEHICULOS!$P$60:$Q$68</definedName>
    <definedName name="Z_F04D6E49_B797_4F40_84E9_ADFFBD0CB8BA_.wvu.Cols" localSheetId="1" hidden="1">VEHICULOS!#REF!</definedName>
    <definedName name="Z_F04D6E49_B797_4F40_84E9_ADFFBD0CB8BA_.wvu.PrintArea" localSheetId="1" hidden="1">VEHICULOS!$P$60:$Q$68</definedName>
    <definedName name="Z_F04D6E49_B797_4F40_84E9_ADFFBD0CB8BA_.wvu.Rows" localSheetId="1" hidden="1">VEHICULOS!#REF!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5" i="4" l="1"/>
  <c r="V25" i="4" s="1"/>
  <c r="R25" i="4"/>
  <c r="S25" i="4" s="1"/>
  <c r="B25" i="4"/>
  <c r="U24" i="4"/>
  <c r="V24" i="4" s="1"/>
  <c r="R24" i="4"/>
  <c r="S24" i="4" s="1"/>
  <c r="B24" i="4"/>
  <c r="U23" i="4"/>
  <c r="V23" i="4" s="1"/>
  <c r="R23" i="4"/>
  <c r="S23" i="4" s="1"/>
  <c r="B23" i="4"/>
  <c r="U22" i="4"/>
  <c r="V22" i="4" s="1"/>
  <c r="R22" i="4"/>
  <c r="S22" i="4" s="1"/>
  <c r="B22" i="4"/>
  <c r="U21" i="4"/>
  <c r="V21" i="4" s="1"/>
  <c r="R21" i="4"/>
  <c r="S21" i="4" s="1"/>
  <c r="B21" i="4"/>
  <c r="U20" i="4"/>
  <c r="V20" i="4" s="1"/>
  <c r="R20" i="4"/>
  <c r="S20" i="4" s="1"/>
  <c r="B20" i="4"/>
  <c r="U19" i="4"/>
  <c r="V19" i="4" s="1"/>
  <c r="R19" i="4"/>
  <c r="S19" i="4" s="1"/>
  <c r="B19" i="4"/>
  <c r="U18" i="4"/>
  <c r="V18" i="4" s="1"/>
  <c r="R18" i="4"/>
  <c r="S18" i="4" s="1"/>
  <c r="B18" i="4"/>
  <c r="X16" i="4"/>
  <c r="Y16" i="4" s="1"/>
  <c r="U16" i="4"/>
  <c r="V16" i="4" s="1"/>
  <c r="R16" i="4"/>
  <c r="S16" i="4" s="1"/>
  <c r="X15" i="4"/>
  <c r="Y15" i="4" s="1"/>
  <c r="U15" i="4"/>
  <c r="V15" i="4" s="1"/>
  <c r="R15" i="4"/>
  <c r="S15" i="4" s="1"/>
  <c r="B15" i="4"/>
  <c r="X14" i="4"/>
  <c r="Y14" i="4" s="1"/>
  <c r="U14" i="4"/>
  <c r="V14" i="4" s="1"/>
  <c r="R14" i="4"/>
  <c r="S14" i="4" s="1"/>
  <c r="B14" i="4"/>
  <c r="X13" i="4"/>
  <c r="Y13" i="4" s="1"/>
  <c r="U13" i="4"/>
  <c r="V13" i="4" s="1"/>
  <c r="R13" i="4"/>
  <c r="S13" i="4" s="1"/>
  <c r="B13" i="4"/>
  <c r="X12" i="4"/>
  <c r="Y12" i="4" s="1"/>
  <c r="U12" i="4"/>
  <c r="V12" i="4" s="1"/>
  <c r="R12" i="4"/>
  <c r="S12" i="4" s="1"/>
  <c r="B12" i="4"/>
  <c r="X11" i="4"/>
  <c r="Y11" i="4" s="1"/>
  <c r="U11" i="4"/>
  <c r="V11" i="4" s="1"/>
  <c r="R11" i="4"/>
  <c r="S11" i="4" s="1"/>
  <c r="X10" i="4"/>
  <c r="Y10" i="4" s="1"/>
  <c r="U10" i="4"/>
  <c r="V10" i="4" s="1"/>
  <c r="R10" i="4"/>
  <c r="S10" i="4" s="1"/>
  <c r="B10" i="4"/>
  <c r="X9" i="4"/>
  <c r="Y9" i="4" s="1"/>
  <c r="U9" i="4"/>
  <c r="V9" i="4" s="1"/>
  <c r="R9" i="4"/>
  <c r="S9" i="4" s="1"/>
  <c r="B9" i="4"/>
  <c r="X8" i="4"/>
  <c r="Y8" i="4" s="1"/>
  <c r="U8" i="4"/>
  <c r="V8" i="4" s="1"/>
  <c r="R8" i="4"/>
  <c r="S8" i="4" s="1"/>
  <c r="X6" i="4"/>
  <c r="Y6" i="4" s="1"/>
  <c r="U6" i="4"/>
  <c r="V6" i="4" s="1"/>
  <c r="R6" i="4"/>
  <c r="S6" i="4" s="1"/>
  <c r="B6" i="4"/>
  <c r="X5" i="4"/>
  <c r="Y5" i="4" s="1"/>
  <c r="U5" i="4"/>
  <c r="V5" i="4" s="1"/>
  <c r="R5" i="4"/>
  <c r="S5" i="4" s="1"/>
  <c r="B5" i="4"/>
  <c r="X4" i="4"/>
  <c r="Y4" i="4" s="1"/>
  <c r="U4" i="4"/>
  <c r="V4" i="4" s="1"/>
  <c r="R4" i="4"/>
  <c r="S4" i="4" s="1"/>
  <c r="B4" i="4"/>
</calcChain>
</file>

<file path=xl/sharedStrings.xml><?xml version="1.0" encoding="utf-8"?>
<sst xmlns="http://schemas.openxmlformats.org/spreadsheetml/2006/main" count="359" uniqueCount="183">
  <si>
    <t>GRIER, FACUNDO</t>
  </si>
  <si>
    <t>OPERADOR</t>
  </si>
  <si>
    <t>AYUDANTE</t>
  </si>
  <si>
    <t>VEHICULO LIVIANO</t>
  </si>
  <si>
    <t>ALMONACID, DANIEL</t>
  </si>
  <si>
    <t>LUCERO, WALTER</t>
  </si>
  <si>
    <t>PEREZ, GUSTAVO</t>
  </si>
  <si>
    <t>VECE, IGNACIO</t>
  </si>
  <si>
    <t>BELIZON, ANDRES</t>
  </si>
  <si>
    <t>DOMINGUEZ, MARIANO</t>
  </si>
  <si>
    <t>MEDEL, SERGIO</t>
  </si>
  <si>
    <t>MORALES, DIEGO</t>
  </si>
  <si>
    <t>PERALTA, JAVIER</t>
  </si>
  <si>
    <t>VIDELA, OMAR</t>
  </si>
  <si>
    <t>ESPECHE, DIEGO</t>
  </si>
  <si>
    <t>EQUIPO DE IZAJE</t>
  </si>
  <si>
    <t>Pluma 02</t>
  </si>
  <si>
    <t>Pluma 03</t>
  </si>
  <si>
    <t>Pluma 04</t>
  </si>
  <si>
    <t>UL-37</t>
  </si>
  <si>
    <t>UL-39</t>
  </si>
  <si>
    <t>UL-40</t>
  </si>
  <si>
    <t>Hidro(18)OMG-758</t>
  </si>
  <si>
    <t>Pluma 05</t>
  </si>
  <si>
    <t>Pluma 06</t>
  </si>
  <si>
    <t xml:space="preserve">Hidro (41) PBT 043 </t>
  </si>
  <si>
    <t xml:space="preserve"> </t>
  </si>
  <si>
    <t>SUPERVISOR</t>
  </si>
  <si>
    <t>BASOALTO, JUAN</t>
  </si>
  <si>
    <t>UL-42</t>
  </si>
  <si>
    <t xml:space="preserve">LAGOS, RODRIGO </t>
  </si>
  <si>
    <t>UL-43</t>
  </si>
  <si>
    <t>AB 291 KB</t>
  </si>
  <si>
    <t>AD 857 AG</t>
  </si>
  <si>
    <t>AE161EJ</t>
  </si>
  <si>
    <t>HKJ037</t>
  </si>
  <si>
    <t>AB 291 KA</t>
  </si>
  <si>
    <t xml:space="preserve">AD 857 AL </t>
  </si>
  <si>
    <t>AE100WK</t>
  </si>
  <si>
    <t>BERROCAL ALAN</t>
  </si>
  <si>
    <t>VIDELA OMAR</t>
  </si>
  <si>
    <t>DE CROCE MIGUEL</t>
  </si>
  <si>
    <t>MEDEL SERGIO</t>
  </si>
  <si>
    <t>ECHANIZ MARCO</t>
  </si>
  <si>
    <t>CASTRO ALEJANDRO</t>
  </si>
  <si>
    <t>MERCADO MATIAS</t>
  </si>
  <si>
    <t>MOLINA LUCAS</t>
  </si>
  <si>
    <t>BORQUEZ LUCAS</t>
  </si>
  <si>
    <t>UL-35</t>
  </si>
  <si>
    <t>UL-33</t>
  </si>
  <si>
    <t>UL- 36</t>
  </si>
  <si>
    <t>EQUIPOS</t>
  </si>
  <si>
    <t>SL-23</t>
  </si>
  <si>
    <t>SL-26</t>
  </si>
  <si>
    <t>SL-27</t>
  </si>
  <si>
    <t>SL-28</t>
  </si>
  <si>
    <t>SL-29</t>
  </si>
  <si>
    <t>SL-30</t>
  </si>
  <si>
    <t>SL-31</t>
  </si>
  <si>
    <t>SL-38</t>
  </si>
  <si>
    <t>AYUDANTES</t>
  </si>
  <si>
    <t>EQUIPO</t>
  </si>
  <si>
    <t>Todas las tripulaciones deben salir desde base a los diferentes equipos, tanto los dias lunes como los feriados.</t>
  </si>
  <si>
    <t>PATENTE</t>
  </si>
  <si>
    <t>UNIDAD LIVIANA</t>
  </si>
  <si>
    <t>PLO-429</t>
  </si>
  <si>
    <t xml:space="preserve">Seguro </t>
  </si>
  <si>
    <t>VTV</t>
  </si>
  <si>
    <t xml:space="preserve">RUTA </t>
  </si>
  <si>
    <t>Dominio Vehículo</t>
  </si>
  <si>
    <t>Unidad</t>
  </si>
  <si>
    <t>CONTRATO YPF 4900093493 LOMA LA LATA</t>
  </si>
  <si>
    <t>PLUSPETROL</t>
  </si>
  <si>
    <t>Marca</t>
  </si>
  <si>
    <t xml:space="preserve"> Modelo</t>
  </si>
  <si>
    <t>Tipo</t>
  </si>
  <si>
    <t>Titular</t>
  </si>
  <si>
    <t>Adquisión / Alquiler</t>
  </si>
  <si>
    <t>Modelo Año</t>
  </si>
  <si>
    <t>Chasis</t>
  </si>
  <si>
    <t>Motor</t>
  </si>
  <si>
    <t>Cia. Seguro</t>
  </si>
  <si>
    <t>Vto. Póliza</t>
  </si>
  <si>
    <t>Vencimiento</t>
  </si>
  <si>
    <t>X</t>
  </si>
  <si>
    <t>FORD</t>
  </si>
  <si>
    <t>Servicios Naser S.R.L.</t>
  </si>
  <si>
    <t>OMG758</t>
  </si>
  <si>
    <t>Camilla 18</t>
  </si>
  <si>
    <t>VOLKSWAGEN</t>
  </si>
  <si>
    <t>C. 17.250-35 E T</t>
  </si>
  <si>
    <t>CAMION  MAS DE 3.5 TT</t>
  </si>
  <si>
    <t>9535N8249ER419419</t>
  </si>
  <si>
    <t>PLO 429</t>
  </si>
  <si>
    <t>SL 23</t>
  </si>
  <si>
    <t>IVECO</t>
  </si>
  <si>
    <t>Vertis 130V18 Paso 4750</t>
  </si>
  <si>
    <t>Chasis C/Cabina</t>
  </si>
  <si>
    <t>93ZA1FC00E8552165</t>
  </si>
  <si>
    <t>20-PICK-UP</t>
  </si>
  <si>
    <t>SL 26</t>
  </si>
  <si>
    <t>B03-CARGO 1119-39</t>
  </si>
  <si>
    <t>17-CHASIS C/CABINA</t>
  </si>
  <si>
    <t>9BFWEA7BXHBS41661</t>
  </si>
  <si>
    <t>SL 27</t>
  </si>
  <si>
    <t>9BFWEA7BXHBS41658</t>
  </si>
  <si>
    <t>AD507PU</t>
  </si>
  <si>
    <t>Uni. 33</t>
  </si>
  <si>
    <t>B60-ECOSPORT S 1.5L MT N</t>
  </si>
  <si>
    <t>04-RURAL-5 PUERTAS</t>
  </si>
  <si>
    <t>9BFZB55UK8740244</t>
  </si>
  <si>
    <t>XZJAK8740244</t>
  </si>
  <si>
    <t>AD691LT</t>
  </si>
  <si>
    <t>Uni. 34</t>
  </si>
  <si>
    <t>9BFZB55U4L8769199</t>
  </si>
  <si>
    <t>XZJAL8769199</t>
  </si>
  <si>
    <t>SL 28</t>
  </si>
  <si>
    <t>652-DELIVERY 11,180</t>
  </si>
  <si>
    <t>9535V6TB5KR910230</t>
  </si>
  <si>
    <t>AD 857 AL</t>
  </si>
  <si>
    <t>SL 29</t>
  </si>
  <si>
    <t>9535V6TB9KR910067</t>
  </si>
  <si>
    <t>SL 30</t>
  </si>
  <si>
    <t>652-DELIVERY 11.180</t>
  </si>
  <si>
    <t>9535V6TB2LR025355</t>
  </si>
  <si>
    <t>AE161EC</t>
  </si>
  <si>
    <t>Uni. 35</t>
  </si>
  <si>
    <t>ZG-RANGER DC 4X2 XL 2.2L D</t>
  </si>
  <si>
    <t>8AFAR22KXLJ168269</t>
  </si>
  <si>
    <t>QJ2S LJ168269</t>
  </si>
  <si>
    <t>AE161ED</t>
  </si>
  <si>
    <t>Uni. 36</t>
  </si>
  <si>
    <t>8AFAR22K2LJ168282</t>
  </si>
  <si>
    <t>QJ2S LJ168282</t>
  </si>
  <si>
    <t>SL 31</t>
  </si>
  <si>
    <t>660-CONSTELLATION 17.230 ROBUST</t>
  </si>
  <si>
    <t>9536G8245LR029008</t>
  </si>
  <si>
    <t>0155533A625528</t>
  </si>
  <si>
    <t>AE161EM</t>
  </si>
  <si>
    <t>Uni. 37</t>
  </si>
  <si>
    <t>9BFZB55U6L8809668</t>
  </si>
  <si>
    <t>XZJAL8809668</t>
  </si>
  <si>
    <t>AE663HY</t>
  </si>
  <si>
    <t>9535V6TB0LR034782</t>
  </si>
  <si>
    <t>AE708AB</t>
  </si>
  <si>
    <t>Uni. 40</t>
  </si>
  <si>
    <t>8AFAR22KXMJ221845</t>
  </si>
  <si>
    <t>QJ2SMJ221845</t>
  </si>
  <si>
    <t>AE708AC</t>
  </si>
  <si>
    <t>Uni. 39</t>
  </si>
  <si>
    <t>8AFAR22K4MJ221856</t>
  </si>
  <si>
    <t>QJ2SMJ221856</t>
  </si>
  <si>
    <t>SL 38</t>
  </si>
  <si>
    <t>745-CARGO 1722E</t>
  </si>
  <si>
    <t>9BFYCE7V88BB08917</t>
  </si>
  <si>
    <t>PBT043</t>
  </si>
  <si>
    <t>9BFYEAXV0FBL83582</t>
  </si>
  <si>
    <t>hidro 41</t>
  </si>
  <si>
    <t xml:space="preserve">SEMI </t>
  </si>
  <si>
    <t xml:space="preserve"> LTV 915</t>
  </si>
  <si>
    <t>SL 32</t>
  </si>
  <si>
    <t xml:space="preserve"> falta ind </t>
  </si>
  <si>
    <t xml:space="preserve">falta montaje hidraulico </t>
  </si>
  <si>
    <t>Uni. 43</t>
  </si>
  <si>
    <t xml:space="preserve">mercantil andina </t>
  </si>
  <si>
    <t xml:space="preserve"> UNIDALES LIVIANAS  </t>
  </si>
  <si>
    <t>HIDRO</t>
  </si>
  <si>
    <t xml:space="preserve">EQUIPOS DE SLICK LINE </t>
  </si>
  <si>
    <t xml:space="preserve">Vencimiento
VTV </t>
  </si>
  <si>
    <t>AG181ZZ</t>
  </si>
  <si>
    <t>ZG-RANGER DC 4X4XL 2.0L D</t>
  </si>
  <si>
    <t>8AFBR01H2RJ356596</t>
  </si>
  <si>
    <t>PO2S RJ356596</t>
  </si>
  <si>
    <t>CONTRATO YPF 4900102234 NOC-GAS</t>
  </si>
  <si>
    <t>N°</t>
  </si>
  <si>
    <t xml:space="preserve">Días disponible </t>
  </si>
  <si>
    <t xml:space="preserve">Alerta </t>
  </si>
  <si>
    <t>x</t>
  </si>
  <si>
    <t>-</t>
  </si>
  <si>
    <t>PLANIFICACION SEMANAL</t>
  </si>
  <si>
    <t xml:space="preserve">POSN04-F1
Rev.02 - Ago25
</t>
  </si>
  <si>
    <t>BERMAR, CARLOS</t>
  </si>
  <si>
    <t>UL-34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</si>
</sst>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theme="4" tint="-0.499984740745262"/>
      <name val="Tahoma"/>
      <family val="2"/>
    </font>
    <font>
      <sz val="11"/>
      <color indexed="63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7" fillId="0" borderId="0" applyNumberFormat="0" applyFill="0" applyBorder="0" applyAlignment="0" applyProtection="0"/>
  </cellStyleXfs>
  <cellXfs count="157">
    <xf numFmtId="0" fontId="0" fillId="0" borderId="0" xfId="0"/>
    <xf numFmtId="0" fontId="0" fillId="0" borderId="1" xfId="0" applyBorder="1"/>
    <xf numFmtId="0" fontId="1" fillId="3" borderId="3" xfId="0" applyFont="1" applyFill="1" applyBorder="1"/>
    <xf numFmtId="0" fontId="1" fillId="3" borderId="3" xfId="0" applyFont="1" applyFill="1" applyBorder="1" applyAlignment="1">
      <alignment horizontal="center"/>
    </xf>
    <xf numFmtId="0" fontId="1" fillId="0" borderId="0" xfId="0" applyFont="1"/>
    <xf numFmtId="0" fontId="4" fillId="2" borderId="0" xfId="0" applyFont="1" applyFill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Protection="1">
      <protection locked="0"/>
    </xf>
    <xf numFmtId="0" fontId="7" fillId="0" borderId="0" xfId="1" applyFont="1" applyAlignment="1">
      <alignment horizontal="left" vertical="center"/>
    </xf>
    <xf numFmtId="0" fontId="9" fillId="0" borderId="1" xfId="1" applyFont="1" applyBorder="1" applyAlignment="1">
      <alignment horizontal="left" vertical="center"/>
    </xf>
    <xf numFmtId="0" fontId="9" fillId="2" borderId="1" xfId="1" applyFont="1" applyFill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2" borderId="1" xfId="1" applyFont="1" applyFill="1" applyBorder="1" applyAlignment="1">
      <alignment horizontal="left" vertical="center"/>
    </xf>
    <xf numFmtId="0" fontId="0" fillId="0" borderId="1" xfId="0" applyBorder="1" applyProtection="1">
      <protection locked="0"/>
    </xf>
    <xf numFmtId="0" fontId="1" fillId="0" borderId="1" xfId="0" applyFont="1" applyBorder="1"/>
    <xf numFmtId="0" fontId="1" fillId="3" borderId="8" xfId="0" applyFont="1" applyFill="1" applyBorder="1"/>
    <xf numFmtId="0" fontId="1" fillId="3" borderId="9" xfId="0" applyFont="1" applyFill="1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0" fillId="0" borderId="4" xfId="0" applyFont="1" applyBorder="1" applyAlignment="1">
      <alignment vertical="center"/>
    </xf>
    <xf numFmtId="0" fontId="11" fillId="0" borderId="12" xfId="0" applyFont="1" applyBorder="1" applyAlignment="1">
      <alignment horizontal="center" vertical="top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3" fillId="0" borderId="0" xfId="0" applyFont="1" applyAlignment="1" applyProtection="1">
      <alignment vertical="center"/>
      <protection locked="0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 applyProtection="1">
      <alignment vertical="center"/>
      <protection locked="0"/>
    </xf>
    <xf numFmtId="0" fontId="8" fillId="5" borderId="0" xfId="0" applyFont="1" applyFill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13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6" fillId="6" borderId="0" xfId="0" applyFont="1" applyFill="1" applyAlignment="1" applyProtection="1">
      <alignment vertical="center"/>
      <protection locked="0"/>
    </xf>
    <xf numFmtId="0" fontId="8" fillId="6" borderId="0" xfId="0" applyFont="1" applyFill="1" applyAlignment="1" applyProtection="1">
      <alignment vertical="center"/>
      <protection locked="0"/>
    </xf>
    <xf numFmtId="0" fontId="4" fillId="6" borderId="19" xfId="0" applyFont="1" applyFill="1" applyBorder="1" applyAlignment="1">
      <alignment vertical="center"/>
    </xf>
    <xf numFmtId="0" fontId="13" fillId="0" borderId="0" xfId="0" applyFont="1" applyAlignment="1" applyProtection="1">
      <alignment horizontal="center" vertical="center"/>
      <protection locked="0"/>
    </xf>
    <xf numFmtId="0" fontId="14" fillId="2" borderId="0" xfId="0" applyFont="1" applyFill="1" applyAlignment="1">
      <alignment horizontal="center" vertical="center" wrapText="1"/>
    </xf>
    <xf numFmtId="0" fontId="1" fillId="7" borderId="18" xfId="0" applyFont="1" applyFill="1" applyBorder="1" applyAlignment="1" applyProtection="1">
      <alignment horizontal="center" vertical="center"/>
      <protection locked="0"/>
    </xf>
    <xf numFmtId="0" fontId="15" fillId="7" borderId="18" xfId="0" applyFont="1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>
      <alignment horizontal="center"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15" fillId="6" borderId="1" xfId="0" applyFont="1" applyFill="1" applyBorder="1" applyAlignment="1" applyProtection="1">
      <alignment horizontal="center" vertical="center"/>
      <protection locked="0"/>
    </xf>
    <xf numFmtId="0" fontId="14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1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20" fillId="2" borderId="1" xfId="2" applyNumberFormat="1" applyFont="1" applyFill="1" applyBorder="1" applyAlignment="1" applyProtection="1">
      <alignment horizontal="center" vertical="center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14" fontId="13" fillId="2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shrinkToFit="1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1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 applyProtection="1">
      <alignment horizontal="center" vertical="center"/>
      <protection locked="0"/>
    </xf>
    <xf numFmtId="14" fontId="4" fillId="6" borderId="1" xfId="0" applyNumberFormat="1" applyFont="1" applyFill="1" applyBorder="1" applyAlignment="1">
      <alignment horizontal="center" vertical="center"/>
    </xf>
    <xf numFmtId="14" fontId="0" fillId="6" borderId="1" xfId="0" applyNumberFormat="1" applyFill="1" applyBorder="1" applyAlignment="1" applyProtection="1">
      <alignment horizontal="center" vertical="center" shrinkToFit="1"/>
      <protection locked="0"/>
    </xf>
    <xf numFmtId="0" fontId="0" fillId="6" borderId="1" xfId="0" applyFill="1" applyBorder="1" applyAlignment="1" applyProtection="1">
      <alignment horizontal="center" vertical="center" shrinkToFit="1"/>
      <protection locked="0"/>
    </xf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1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14" fontId="4" fillId="5" borderId="1" xfId="0" applyNumberFormat="1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20" fillId="5" borderId="1" xfId="2" applyNumberFormat="1" applyFont="1" applyFill="1" applyBorder="1" applyAlignment="1" applyProtection="1">
      <alignment horizontal="center" vertical="center"/>
      <protection locked="0"/>
    </xf>
    <xf numFmtId="14" fontId="13" fillId="5" borderId="1" xfId="0" applyNumberFormat="1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8" fillId="2" borderId="1" xfId="0" applyFont="1" applyFill="1" applyBorder="1" applyAlignment="1" applyProtection="1">
      <alignment horizontal="center" vertical="center"/>
      <protection locked="0"/>
    </xf>
    <xf numFmtId="14" fontId="4" fillId="2" borderId="7" xfId="0" applyNumberFormat="1" applyFont="1" applyFill="1" applyBorder="1" applyAlignment="1">
      <alignment horizontal="center" vertical="center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4" fontId="0" fillId="0" borderId="18" xfId="0" applyNumberFormat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4" fillId="5" borderId="7" xfId="0" applyNumberFormat="1" applyFont="1" applyFill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0" fontId="13" fillId="5" borderId="17" xfId="0" applyFont="1" applyFill="1" applyBorder="1" applyAlignment="1" applyProtection="1">
      <alignment horizontal="center" vertical="center"/>
      <protection locked="0"/>
    </xf>
    <xf numFmtId="0" fontId="13" fillId="0" borderId="17" xfId="0" applyFont="1" applyBorder="1" applyAlignment="1" applyProtection="1">
      <alignment horizontal="center" vertical="center"/>
      <protection locked="0"/>
    </xf>
    <xf numFmtId="14" fontId="4" fillId="5" borderId="18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left" vertical="center"/>
    </xf>
    <xf numFmtId="14" fontId="0" fillId="5" borderId="1" xfId="0" applyNumberForma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16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3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/>
    </xf>
    <xf numFmtId="14" fontId="19" fillId="0" borderId="0" xfId="2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applyNumberFormat="1" applyAlignment="1" applyProtection="1">
      <alignment horizontal="left" vertical="center" shrinkToFit="1"/>
      <protection locked="0"/>
    </xf>
    <xf numFmtId="0" fontId="0" fillId="0" borderId="0" xfId="0" applyAlignment="1" applyProtection="1">
      <alignment horizontal="left" vertical="center" shrinkToFi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>
      <alignment horizontal="center"/>
    </xf>
    <xf numFmtId="0" fontId="0" fillId="0" borderId="11" xfId="0" applyBorder="1"/>
    <xf numFmtId="0" fontId="0" fillId="0" borderId="7" xfId="0" applyBorder="1"/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9" fillId="0" borderId="7" xfId="1" applyFont="1" applyBorder="1" applyAlignment="1">
      <alignment horizontal="left" vertical="center"/>
    </xf>
    <xf numFmtId="0" fontId="9" fillId="0" borderId="11" xfId="1" applyFont="1" applyBorder="1" applyAlignment="1">
      <alignment horizontal="left" vertical="center"/>
    </xf>
    <xf numFmtId="0" fontId="1" fillId="3" borderId="20" xfId="0" applyFont="1" applyFill="1" applyBorder="1" applyAlignment="1">
      <alignment horizontal="center"/>
    </xf>
    <xf numFmtId="0" fontId="10" fillId="0" borderId="14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4" fillId="7" borderId="18" xfId="0" applyFont="1" applyFill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Normal 5" xfId="1" xr:uid="{00000000-0005-0000-0000-000002000000}"/>
  </cellStyles>
  <dxfs count="2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412750</xdr:colOff>
      <xdr:row>0</xdr:row>
      <xdr:rowOff>44450</xdr:rowOff>
    </xdr:from>
    <xdr:to>
      <xdr:col>0</xdr:col>
      <xdr:colOff>1037018</xdr:colOff>
      <xdr:row>0</xdr:row>
      <xdr:rowOff>368300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750" y="44450"/>
          <a:ext cx="624268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0</xdr:rowOff>
    </xdr:from>
    <xdr:to>
      <xdr:col>0</xdr:col>
      <xdr:colOff>520700</xdr:colOff>
      <xdr:row>0</xdr:row>
      <xdr:rowOff>373340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" y="0"/>
          <a:ext cx="431800" cy="373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"/>
  <sheetViews>
    <sheetView tabSelected="1" zoomScaleNormal="100" workbookViewId="0">
      <selection activeCell="D26" sqref="D26"/>
    </sheetView>
  </sheetViews>
  <sheetFormatPr baseColWidth="10" defaultRowHeight="14.5" x14ac:dyDescent="0.35"/>
  <cols>
    <col min="1" max="1" width="22.1796875" bestFit="1" customWidth="1"/>
    <col min="2" max="2" width="20.453125" bestFit="1" customWidth="1"/>
    <col min="3" max="3" width="22.1796875" bestFit="1" customWidth="1"/>
    <col min="4" max="4" width="23.81640625" style="5" customWidth="1"/>
    <col min="5" max="5" width="23.54296875" customWidth="1"/>
    <col min="6" max="8" width="22.1796875" bestFit="1" customWidth="1"/>
    <col min="10" max="10" width="26.81640625" customWidth="1"/>
    <col min="11" max="11" width="6.81640625" customWidth="1"/>
    <col min="12" max="12" width="18.453125" customWidth="1"/>
    <col min="13" max="13" width="0.54296875" customWidth="1"/>
  </cols>
  <sheetData>
    <row r="1" spans="1:12" ht="31.5" customHeight="1" x14ac:dyDescent="0.35">
      <c r="A1" s="29"/>
      <c r="B1" s="155" t="s">
        <v>179</v>
      </c>
      <c r="C1" s="155"/>
      <c r="D1" s="155"/>
      <c r="E1" s="155"/>
      <c r="F1" s="155"/>
      <c r="G1" s="155"/>
      <c r="H1" s="30" t="s">
        <v>180</v>
      </c>
      <c r="J1" s="6"/>
      <c r="L1" s="6"/>
    </row>
    <row r="2" spans="1:12" ht="15.5" x14ac:dyDescent="0.35">
      <c r="A2" s="31" t="s">
        <v>61</v>
      </c>
      <c r="B2" s="32" t="s">
        <v>61</v>
      </c>
      <c r="C2" s="32" t="s">
        <v>61</v>
      </c>
      <c r="D2" s="32" t="s">
        <v>61</v>
      </c>
      <c r="E2" s="32" t="s">
        <v>61</v>
      </c>
      <c r="F2" s="32" t="s">
        <v>61</v>
      </c>
      <c r="G2" s="32" t="s">
        <v>61</v>
      </c>
      <c r="H2" s="33" t="s">
        <v>61</v>
      </c>
      <c r="J2" s="6"/>
      <c r="L2" s="8"/>
    </row>
    <row r="3" spans="1:12" ht="14.5" customHeight="1" x14ac:dyDescent="0.35">
      <c r="A3" s="34"/>
      <c r="B3" s="35"/>
      <c r="C3" s="35"/>
      <c r="D3" s="35"/>
      <c r="E3" s="35"/>
      <c r="F3" s="35"/>
      <c r="G3" s="35"/>
      <c r="H3" s="36"/>
      <c r="J3" s="7"/>
      <c r="L3" s="8"/>
    </row>
    <row r="4" spans="1:12" ht="15.5" x14ac:dyDescent="0.35">
      <c r="A4" s="34"/>
      <c r="B4" s="35"/>
      <c r="C4" s="35"/>
      <c r="D4" s="35"/>
      <c r="E4" s="35"/>
      <c r="F4" s="35"/>
      <c r="G4" s="35"/>
      <c r="H4" s="36"/>
      <c r="J4" s="6"/>
      <c r="L4" s="8"/>
    </row>
    <row r="5" spans="1:12" ht="15.5" x14ac:dyDescent="0.35">
      <c r="A5" s="31" t="s">
        <v>64</v>
      </c>
      <c r="B5" s="32" t="s">
        <v>64</v>
      </c>
      <c r="C5" s="32" t="s">
        <v>64</v>
      </c>
      <c r="D5" s="32" t="s">
        <v>64</v>
      </c>
      <c r="E5" s="32" t="s">
        <v>64</v>
      </c>
      <c r="F5" s="32" t="s">
        <v>64</v>
      </c>
      <c r="G5" s="32" t="s">
        <v>64</v>
      </c>
      <c r="H5" s="33" t="s">
        <v>64</v>
      </c>
      <c r="J5" s="6"/>
      <c r="L5" s="8"/>
    </row>
    <row r="6" spans="1:12" ht="15.5" x14ac:dyDescent="0.35">
      <c r="A6" s="37"/>
      <c r="B6" s="38"/>
      <c r="C6" s="38"/>
      <c r="D6" s="38"/>
      <c r="E6" s="38"/>
      <c r="F6" s="38" t="s">
        <v>26</v>
      </c>
      <c r="G6" s="38" t="s">
        <v>26</v>
      </c>
      <c r="H6" s="39"/>
      <c r="J6" s="6"/>
    </row>
    <row r="7" spans="1:12" ht="15.5" x14ac:dyDescent="0.35">
      <c r="A7" s="31" t="s">
        <v>15</v>
      </c>
      <c r="B7" s="32" t="s">
        <v>15</v>
      </c>
      <c r="C7" s="32" t="s">
        <v>15</v>
      </c>
      <c r="D7" s="32" t="s">
        <v>15</v>
      </c>
      <c r="E7" s="32" t="s">
        <v>15</v>
      </c>
      <c r="F7" s="32" t="s">
        <v>15</v>
      </c>
      <c r="G7" s="32" t="s">
        <v>15</v>
      </c>
      <c r="H7" s="33" t="s">
        <v>15</v>
      </c>
      <c r="J7" s="6"/>
      <c r="L7" s="8"/>
    </row>
    <row r="8" spans="1:12" ht="15.5" x14ac:dyDescent="0.35">
      <c r="A8" s="37"/>
      <c r="B8" s="38"/>
      <c r="C8" s="38"/>
      <c r="D8" s="38"/>
      <c r="E8" s="38"/>
      <c r="F8" s="38" t="s">
        <v>26</v>
      </c>
      <c r="G8" s="38" t="s">
        <v>26</v>
      </c>
      <c r="H8" s="39"/>
      <c r="J8" s="6"/>
    </row>
    <row r="9" spans="1:12" ht="15.5" x14ac:dyDescent="0.35">
      <c r="A9" s="31" t="s">
        <v>27</v>
      </c>
      <c r="B9" s="32" t="s">
        <v>27</v>
      </c>
      <c r="C9" s="32" t="s">
        <v>27</v>
      </c>
      <c r="D9" s="32" t="s">
        <v>27</v>
      </c>
      <c r="E9" s="32" t="s">
        <v>27</v>
      </c>
      <c r="F9" s="32" t="s">
        <v>27</v>
      </c>
      <c r="G9" s="32" t="s">
        <v>27</v>
      </c>
      <c r="H9" s="33" t="s">
        <v>27</v>
      </c>
      <c r="J9" s="6"/>
      <c r="L9" s="8"/>
    </row>
    <row r="10" spans="1:12" ht="15.5" x14ac:dyDescent="0.35">
      <c r="A10" s="37" t="s">
        <v>26</v>
      </c>
      <c r="B10" s="38"/>
      <c r="C10" s="38"/>
      <c r="D10" s="38"/>
      <c r="E10" s="38" t="s">
        <v>26</v>
      </c>
      <c r="F10" s="38"/>
      <c r="G10" s="38"/>
      <c r="H10" s="39" t="s">
        <v>26</v>
      </c>
      <c r="J10" s="6"/>
    </row>
    <row r="11" spans="1:12" ht="15.5" x14ac:dyDescent="0.35">
      <c r="A11" s="31" t="s">
        <v>1</v>
      </c>
      <c r="B11" s="32" t="s">
        <v>1</v>
      </c>
      <c r="C11" s="32" t="s">
        <v>1</v>
      </c>
      <c r="D11" s="32" t="s">
        <v>1</v>
      </c>
      <c r="E11" s="32" t="s">
        <v>1</v>
      </c>
      <c r="F11" s="32" t="s">
        <v>1</v>
      </c>
      <c r="G11" s="32" t="s">
        <v>1</v>
      </c>
      <c r="H11" s="33" t="s">
        <v>1</v>
      </c>
      <c r="J11" s="6"/>
      <c r="L11" s="8"/>
    </row>
    <row r="12" spans="1:12" x14ac:dyDescent="0.35">
      <c r="A12" s="40"/>
      <c r="B12" s="40"/>
      <c r="C12" s="40"/>
      <c r="D12" s="40"/>
      <c r="E12" s="40"/>
      <c r="F12" s="40"/>
      <c r="G12" s="40"/>
      <c r="H12" s="40"/>
      <c r="J12" s="8"/>
    </row>
    <row r="13" spans="1:12" ht="15.5" x14ac:dyDescent="0.35">
      <c r="A13" s="31" t="s">
        <v>60</v>
      </c>
      <c r="B13" s="32" t="s">
        <v>60</v>
      </c>
      <c r="C13" s="32" t="s">
        <v>60</v>
      </c>
      <c r="D13" s="32" t="s">
        <v>60</v>
      </c>
      <c r="E13" s="32" t="s">
        <v>60</v>
      </c>
      <c r="F13" s="32" t="s">
        <v>60</v>
      </c>
      <c r="G13" s="32" t="s">
        <v>60</v>
      </c>
      <c r="H13" s="33" t="s">
        <v>60</v>
      </c>
      <c r="J13" s="6"/>
      <c r="L13" s="8"/>
    </row>
    <row r="14" spans="1:12" x14ac:dyDescent="0.35">
      <c r="A14" s="40"/>
      <c r="B14" s="41"/>
      <c r="C14" s="42"/>
      <c r="D14" s="41"/>
      <c r="E14" s="42"/>
      <c r="F14" s="41" t="s">
        <v>26</v>
      </c>
      <c r="G14" s="41"/>
      <c r="H14" s="43" t="s">
        <v>26</v>
      </c>
      <c r="J14" s="8"/>
    </row>
    <row r="15" spans="1:12" x14ac:dyDescent="0.35">
      <c r="A15" s="40"/>
      <c r="B15" s="41"/>
      <c r="C15" s="42" t="s">
        <v>26</v>
      </c>
      <c r="D15" s="41"/>
      <c r="E15" s="42"/>
      <c r="F15" s="41" t="s">
        <v>26</v>
      </c>
      <c r="G15" s="41"/>
      <c r="H15" s="43"/>
      <c r="J15" s="9"/>
    </row>
    <row r="16" spans="1:12" ht="15" thickBot="1" x14ac:dyDescent="0.4">
      <c r="A16" s="152" t="s">
        <v>62</v>
      </c>
      <c r="B16" s="153"/>
      <c r="C16" s="153"/>
      <c r="D16" s="153"/>
      <c r="E16" s="153"/>
      <c r="F16" s="153"/>
      <c r="G16" s="153"/>
      <c r="H16" s="154"/>
      <c r="J16" s="9"/>
    </row>
  </sheetData>
  <mergeCells count="2">
    <mergeCell ref="A16:H16"/>
    <mergeCell ref="B1:G1"/>
  </mergeCells>
  <pageMargins left="0.7" right="0.7" top="0.75" bottom="0.75" header="0.3" footer="0.3"/>
  <pageSetup paperSize="9" scale="73" fitToHeight="0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'Recursos NSR'!$E$3:$E$20</xm:f>
          </x14:formula1>
          <xm:sqref>A6:H6</xm:sqref>
        </x14:dataValidation>
        <x14:dataValidation type="list" allowBlank="1" showInputMessage="1" showErrorMessage="1" xr:uid="{00000000-0002-0000-0000-000001000000}">
          <x14:formula1>
            <xm:f>'Recursos NSR'!$F$3:$F$15</xm:f>
          </x14:formula1>
          <xm:sqref>A8:H8</xm:sqref>
        </x14:dataValidation>
        <x14:dataValidation type="list" allowBlank="1" showInputMessage="1" showErrorMessage="1" xr:uid="{00000000-0002-0000-0000-000002000000}">
          <x14:formula1>
            <xm:f>'Recursos NSR'!$B$4:$B$10</xm:f>
          </x14:formula1>
          <xm:sqref>A10:H10</xm:sqref>
        </x14:dataValidation>
        <x14:dataValidation type="list" allowBlank="1" showInputMessage="1" showErrorMessage="1" xr:uid="{00000000-0002-0000-0000-000003000000}">
          <x14:formula1>
            <xm:f>'Recursos NSR'!$G$4:$G$12</xm:f>
          </x14:formula1>
          <xm:sqref>A3:H3</xm:sqref>
        </x14:dataValidation>
        <x14:dataValidation type="list" allowBlank="1" showInputMessage="1" showErrorMessage="1" xr:uid="{00000000-0002-0000-0000-000004000000}">
          <x14:formula1>
            <xm:f>'Recursos NSR'!$H$4:$H$11</xm:f>
          </x14:formula1>
          <xm:sqref>A4:H4</xm:sqref>
        </x14:dataValidation>
        <x14:dataValidation type="list" allowBlank="1" showInputMessage="1" showErrorMessage="1" xr:uid="{00000000-0002-0000-0000-000005000000}">
          <x14:formula1>
            <xm:f>'Recursos NSR'!$D$3:$D$25</xm:f>
          </x14:formula1>
          <xm:sqref>A14:H15</xm:sqref>
        </x14:dataValidation>
        <x14:dataValidation type="list" allowBlank="1" showInputMessage="1" showErrorMessage="1" xr:uid="{00000000-0002-0000-0000-000006000000}">
          <x14:formula1>
            <xm:f>'Recursos NSR'!$C$4:$C$14</xm:f>
          </x14:formula1>
          <xm:sqref>A12:H12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Z79"/>
  <sheetViews>
    <sheetView zoomScale="98" zoomScaleNormal="98" workbookViewId="0">
      <selection activeCell="N28" sqref="N28"/>
    </sheetView>
  </sheetViews>
  <sheetFormatPr baseColWidth="10" defaultColWidth="11.453125" defaultRowHeight="13.5" customHeight="1" x14ac:dyDescent="0.35"/>
  <cols>
    <col min="1" max="1" width="3.08984375" style="44" bestFit="1" customWidth="1"/>
    <col min="2" max="2" width="20.08984375" style="52" bestFit="1" customWidth="1"/>
    <col min="3" max="3" width="10" style="54" bestFit="1" customWidth="1"/>
    <col min="4" max="4" width="9.81640625" style="21" bestFit="1" customWidth="1"/>
    <col min="5" max="5" width="19.90625" style="21" bestFit="1" customWidth="1"/>
    <col min="6" max="6" width="24.6328125" style="21" bestFit="1" customWidth="1"/>
    <col min="7" max="7" width="12" style="52" bestFit="1" customWidth="1"/>
    <col min="8" max="8" width="12.90625" style="52" bestFit="1" customWidth="1"/>
    <col min="9" max="9" width="32.81640625" style="52" bestFit="1" customWidth="1"/>
    <col min="10" max="10" width="21.36328125" style="52" bestFit="1" customWidth="1"/>
    <col min="11" max="11" width="18.81640625" style="52" bestFit="1" customWidth="1"/>
    <col min="12" max="12" width="10.81640625" style="52" bestFit="1" customWidth="1"/>
    <col min="13" max="13" width="11.6328125" style="52" bestFit="1" customWidth="1"/>
    <col min="14" max="14" width="18.90625" style="52" bestFit="1" customWidth="1"/>
    <col min="15" max="15" width="15.08984375" style="52" bestFit="1" customWidth="1"/>
    <col min="16" max="16" width="15.36328125" style="53" bestFit="1" customWidth="1"/>
    <col min="17" max="17" width="10.08984375" style="53" bestFit="1" customWidth="1"/>
    <col min="18" max="18" width="14.36328125" style="44" bestFit="1" customWidth="1"/>
    <col min="19" max="19" width="7.1796875" style="44" bestFit="1" customWidth="1"/>
    <col min="20" max="20" width="11.90625" style="44" bestFit="1" customWidth="1"/>
    <col min="21" max="21" width="14.36328125" style="44" bestFit="1" customWidth="1"/>
    <col min="22" max="22" width="9.08984375" style="44" bestFit="1" customWidth="1"/>
    <col min="23" max="23" width="11" style="44" bestFit="1" customWidth="1"/>
    <col min="24" max="24" width="14.36328125" style="44" bestFit="1" customWidth="1"/>
    <col min="25" max="25" width="9.08984375" style="44" bestFit="1" customWidth="1"/>
    <col min="26" max="16384" width="11.453125" style="44"/>
  </cols>
  <sheetData>
    <row r="1" spans="1:962" ht="14.5" x14ac:dyDescent="0.35">
      <c r="A1" s="21"/>
      <c r="B1" s="59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156" t="s">
        <v>66</v>
      </c>
      <c r="Q1" s="156"/>
      <c r="R1" s="60"/>
      <c r="S1" s="60"/>
      <c r="T1" s="61" t="s">
        <v>67</v>
      </c>
      <c r="U1" s="55"/>
      <c r="V1" s="55"/>
      <c r="W1" s="62" t="s">
        <v>68</v>
      </c>
      <c r="X1" s="21"/>
      <c r="Y1" s="21"/>
    </row>
    <row r="2" spans="1:962" s="47" customFormat="1" ht="29" x14ac:dyDescent="0.35">
      <c r="A2" s="63" t="s">
        <v>174</v>
      </c>
      <c r="B2" s="64"/>
      <c r="C2" s="65" t="s">
        <v>69</v>
      </c>
      <c r="D2" s="65" t="s">
        <v>70</v>
      </c>
      <c r="E2" s="65" t="s">
        <v>173</v>
      </c>
      <c r="F2" s="65" t="s">
        <v>71</v>
      </c>
      <c r="G2" s="65" t="s">
        <v>72</v>
      </c>
      <c r="H2" s="65" t="s">
        <v>73</v>
      </c>
      <c r="I2" s="65" t="s">
        <v>74</v>
      </c>
      <c r="J2" s="65" t="s">
        <v>75</v>
      </c>
      <c r="K2" s="65" t="s">
        <v>76</v>
      </c>
      <c r="L2" s="65" t="s">
        <v>77</v>
      </c>
      <c r="M2" s="65" t="s">
        <v>78</v>
      </c>
      <c r="N2" s="65" t="s">
        <v>79</v>
      </c>
      <c r="O2" s="65" t="s">
        <v>80</v>
      </c>
      <c r="P2" s="66" t="s">
        <v>81</v>
      </c>
      <c r="Q2" s="66" t="s">
        <v>82</v>
      </c>
      <c r="R2" s="67" t="s">
        <v>175</v>
      </c>
      <c r="S2" s="67" t="s">
        <v>176</v>
      </c>
      <c r="T2" s="66" t="s">
        <v>168</v>
      </c>
      <c r="U2" s="67" t="s">
        <v>175</v>
      </c>
      <c r="V2" s="67" t="s">
        <v>176</v>
      </c>
      <c r="W2" s="68" t="s">
        <v>83</v>
      </c>
      <c r="X2" s="67" t="s">
        <v>175</v>
      </c>
      <c r="Y2" s="67" t="s">
        <v>176</v>
      </c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</row>
    <row r="3" spans="1:962" s="47" customFormat="1" ht="14.5" x14ac:dyDescent="0.35">
      <c r="A3" s="63">
        <v>1</v>
      </c>
      <c r="B3" s="69" t="s">
        <v>166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</row>
    <row r="4" spans="1:962" s="56" customFormat="1" ht="14.5" x14ac:dyDescent="0.35">
      <c r="A4" s="63">
        <v>2</v>
      </c>
      <c r="B4" s="67" t="str">
        <f>IF(E4&gt;1,"EN USO",IF(F4&gt;1,"EN USO",IF(G4&gt;1,"EN USO","FUERA DE SERVICIO")))</f>
        <v>EN USO</v>
      </c>
      <c r="C4" s="67" t="s">
        <v>159</v>
      </c>
      <c r="D4" s="67" t="s">
        <v>158</v>
      </c>
      <c r="E4" s="71" t="s">
        <v>177</v>
      </c>
      <c r="F4" s="71"/>
      <c r="G4" s="71"/>
      <c r="H4" s="25"/>
      <c r="I4" s="25"/>
      <c r="J4" s="25"/>
      <c r="K4" s="72"/>
      <c r="L4" s="108"/>
      <c r="M4" s="74"/>
      <c r="N4" s="74"/>
      <c r="O4" s="74"/>
      <c r="P4" s="26" t="s">
        <v>164</v>
      </c>
      <c r="Q4" s="75">
        <v>45887</v>
      </c>
      <c r="R4" s="76">
        <f ca="1">Q4-TODAY()</f>
        <v>-80</v>
      </c>
      <c r="S4" s="25" t="str">
        <f ca="1">IF(R4&gt;=30,"Vigente",IF(AND(R4&gt;=1,R4&lt;=30),"Por Vencer","Vencido"))</f>
        <v>Vencido</v>
      </c>
      <c r="T4" s="77">
        <v>45923</v>
      </c>
      <c r="U4" s="76">
        <f ca="1">T4-TODAY()</f>
        <v>-44</v>
      </c>
      <c r="V4" s="25" t="str">
        <f ca="1">IF(U4&gt;=30,"Vigente",IF(AND(U4&gt;=1,U4&lt;=30),"Por Vencer","Vencido"))</f>
        <v>Vencido</v>
      </c>
      <c r="W4" s="78" t="s">
        <v>178</v>
      </c>
      <c r="X4" s="76" t="e">
        <f ca="1">W4-TODAY()</f>
        <v>#VALUE!</v>
      </c>
      <c r="Y4" s="25" t="e">
        <f ca="1">IF(X4&gt;=30,"Vigente",IF(AND(X4&gt;=1,X4&lt;=30),"Por Vencer","Vencido"))</f>
        <v>#VALUE!</v>
      </c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  <c r="IW4" s="47"/>
      <c r="IX4" s="47"/>
      <c r="IY4" s="47"/>
      <c r="IZ4" s="47"/>
      <c r="JA4" s="47"/>
      <c r="JB4" s="47"/>
      <c r="JC4" s="47"/>
      <c r="JD4" s="47"/>
      <c r="JE4" s="47"/>
      <c r="JF4" s="47"/>
      <c r="JG4" s="47"/>
      <c r="JH4" s="47"/>
      <c r="JI4" s="47"/>
      <c r="JJ4" s="47"/>
      <c r="JK4" s="47"/>
      <c r="JL4" s="47"/>
      <c r="JM4" s="47"/>
      <c r="JN4" s="47"/>
      <c r="JO4" s="47"/>
      <c r="JP4" s="47"/>
      <c r="JQ4" s="47"/>
      <c r="JR4" s="47"/>
      <c r="JS4" s="47"/>
      <c r="JT4" s="47"/>
      <c r="JU4" s="47"/>
      <c r="JV4" s="47"/>
      <c r="JW4" s="47"/>
      <c r="JX4" s="47"/>
      <c r="JY4" s="47"/>
      <c r="JZ4" s="47"/>
      <c r="KA4" s="47"/>
      <c r="KB4" s="47"/>
      <c r="KC4" s="47"/>
      <c r="KD4" s="47"/>
      <c r="KE4" s="47"/>
      <c r="KF4" s="47"/>
      <c r="KG4" s="47"/>
      <c r="KH4" s="47"/>
      <c r="KI4" s="47"/>
      <c r="KJ4" s="47"/>
      <c r="KK4" s="47"/>
      <c r="KL4" s="47"/>
      <c r="KM4" s="47"/>
      <c r="KN4" s="47"/>
      <c r="KO4" s="47"/>
      <c r="KP4" s="47"/>
      <c r="KQ4" s="47"/>
      <c r="KR4" s="47"/>
      <c r="KS4" s="47"/>
      <c r="KT4" s="47"/>
      <c r="KU4" s="47"/>
      <c r="KV4" s="47"/>
      <c r="KW4" s="47"/>
      <c r="KX4" s="47"/>
      <c r="KY4" s="47"/>
      <c r="KZ4" s="47"/>
      <c r="LA4" s="47"/>
      <c r="LB4" s="47"/>
      <c r="LC4" s="47"/>
      <c r="LD4" s="47"/>
      <c r="LE4" s="47"/>
      <c r="LF4" s="47"/>
      <c r="LG4" s="47"/>
      <c r="LH4" s="47"/>
      <c r="LI4" s="47"/>
      <c r="LJ4" s="47"/>
      <c r="LK4" s="47"/>
      <c r="LL4" s="47"/>
      <c r="LM4" s="47"/>
      <c r="LN4" s="47"/>
      <c r="LO4" s="47"/>
      <c r="LP4" s="47"/>
      <c r="LQ4" s="47"/>
      <c r="LR4" s="47"/>
      <c r="LS4" s="47"/>
      <c r="LT4" s="47"/>
      <c r="LU4" s="47"/>
      <c r="LV4" s="47"/>
      <c r="LW4" s="47"/>
      <c r="LX4" s="47"/>
      <c r="LY4" s="47"/>
      <c r="LZ4" s="47"/>
      <c r="MA4" s="47"/>
      <c r="MB4" s="47"/>
      <c r="MC4" s="47"/>
      <c r="MD4" s="47"/>
      <c r="ME4" s="47"/>
      <c r="MF4" s="47"/>
      <c r="MG4" s="47"/>
      <c r="MH4" s="47"/>
      <c r="MI4" s="47"/>
      <c r="MJ4" s="47"/>
      <c r="MK4" s="47"/>
      <c r="ML4" s="47"/>
      <c r="MM4" s="47"/>
      <c r="MN4" s="47"/>
      <c r="MO4" s="47"/>
      <c r="MP4" s="47"/>
      <c r="MQ4" s="47"/>
      <c r="MR4" s="47"/>
      <c r="MS4" s="47"/>
      <c r="MT4" s="47"/>
      <c r="MU4" s="47"/>
      <c r="MV4" s="47"/>
      <c r="MW4" s="47"/>
      <c r="MX4" s="47"/>
      <c r="MY4" s="47"/>
      <c r="MZ4" s="47"/>
      <c r="NA4" s="47"/>
      <c r="NB4" s="47"/>
      <c r="NC4" s="47"/>
      <c r="ND4" s="47"/>
      <c r="NE4" s="47"/>
      <c r="NF4" s="47"/>
      <c r="NG4" s="47"/>
      <c r="NH4" s="47"/>
      <c r="NI4" s="47"/>
      <c r="NJ4" s="47"/>
      <c r="NK4" s="47"/>
      <c r="NL4" s="47"/>
      <c r="NM4" s="47"/>
      <c r="NN4" s="47"/>
      <c r="NO4" s="47"/>
      <c r="NP4" s="47"/>
      <c r="NQ4" s="47"/>
      <c r="NR4" s="47"/>
      <c r="NS4" s="47"/>
      <c r="NT4" s="47"/>
      <c r="NU4" s="47"/>
      <c r="NV4" s="47"/>
      <c r="NW4" s="47"/>
      <c r="NX4" s="47"/>
      <c r="NY4" s="47"/>
      <c r="NZ4" s="47"/>
      <c r="OA4" s="47"/>
      <c r="OB4" s="47"/>
      <c r="OC4" s="47"/>
      <c r="OD4" s="47"/>
      <c r="OE4" s="47"/>
      <c r="OF4" s="47"/>
      <c r="OG4" s="47"/>
      <c r="OH4" s="47"/>
      <c r="OI4" s="47"/>
      <c r="OJ4" s="47"/>
      <c r="OK4" s="47"/>
      <c r="OL4" s="47"/>
      <c r="OM4" s="47"/>
      <c r="ON4" s="47"/>
      <c r="OO4" s="47"/>
      <c r="OP4" s="47"/>
      <c r="OQ4" s="47"/>
      <c r="OR4" s="47"/>
      <c r="OS4" s="47"/>
      <c r="OT4" s="47"/>
      <c r="OU4" s="47"/>
      <c r="OV4" s="47"/>
      <c r="OW4" s="47"/>
      <c r="OX4" s="47"/>
      <c r="OY4" s="47"/>
      <c r="OZ4" s="47"/>
      <c r="PA4" s="47"/>
      <c r="PB4" s="47"/>
      <c r="PC4" s="47"/>
      <c r="PD4" s="47"/>
      <c r="PE4" s="47"/>
      <c r="PF4" s="47"/>
      <c r="PG4" s="47"/>
      <c r="PH4" s="47"/>
      <c r="PI4" s="47"/>
      <c r="PJ4" s="47"/>
      <c r="PK4" s="47"/>
      <c r="PL4" s="47"/>
      <c r="PM4" s="47"/>
      <c r="PN4" s="47"/>
      <c r="PO4" s="47"/>
      <c r="PP4" s="47"/>
      <c r="PQ4" s="47"/>
      <c r="PR4" s="47"/>
      <c r="PS4" s="47"/>
      <c r="PT4" s="47"/>
      <c r="PU4" s="47"/>
      <c r="PV4" s="47"/>
      <c r="PW4" s="47"/>
      <c r="PX4" s="47"/>
      <c r="PY4" s="47"/>
      <c r="PZ4" s="47"/>
      <c r="QA4" s="47"/>
      <c r="QB4" s="47"/>
      <c r="QC4" s="47"/>
      <c r="QD4" s="47"/>
      <c r="QE4" s="47"/>
      <c r="QF4" s="47"/>
      <c r="QG4" s="47"/>
      <c r="QH4" s="47"/>
      <c r="QI4" s="47"/>
      <c r="QJ4" s="47"/>
      <c r="QK4" s="47"/>
      <c r="QL4" s="47"/>
      <c r="QM4" s="47"/>
      <c r="QN4" s="47"/>
      <c r="QO4" s="47"/>
      <c r="QP4" s="47"/>
      <c r="QQ4" s="47"/>
      <c r="QR4" s="47"/>
      <c r="QS4" s="47"/>
      <c r="QT4" s="47"/>
      <c r="QU4" s="47"/>
      <c r="QV4" s="47"/>
      <c r="QW4" s="47"/>
      <c r="QX4" s="47"/>
      <c r="QY4" s="47"/>
      <c r="QZ4" s="47"/>
      <c r="RA4" s="47"/>
      <c r="RB4" s="47"/>
      <c r="RC4" s="47"/>
      <c r="RD4" s="47"/>
      <c r="RE4" s="47"/>
      <c r="RF4" s="47"/>
      <c r="RG4" s="47"/>
      <c r="RH4" s="47"/>
      <c r="RI4" s="47"/>
      <c r="RJ4" s="47"/>
      <c r="RK4" s="47"/>
      <c r="RL4" s="47"/>
      <c r="RM4" s="47"/>
      <c r="RN4" s="47"/>
      <c r="RO4" s="47"/>
      <c r="RP4" s="47"/>
      <c r="RQ4" s="47"/>
      <c r="RR4" s="47"/>
      <c r="RS4" s="47"/>
      <c r="RT4" s="47"/>
      <c r="RU4" s="47"/>
      <c r="RV4" s="47"/>
      <c r="RW4" s="47"/>
      <c r="RX4" s="47"/>
      <c r="RY4" s="47"/>
      <c r="RZ4" s="47"/>
      <c r="SA4" s="47"/>
      <c r="SB4" s="47"/>
      <c r="SC4" s="47"/>
      <c r="SD4" s="47"/>
      <c r="SE4" s="47"/>
      <c r="SF4" s="47"/>
      <c r="SG4" s="47"/>
      <c r="SH4" s="47"/>
      <c r="SI4" s="47"/>
      <c r="SJ4" s="47"/>
      <c r="SK4" s="47"/>
      <c r="SL4" s="47"/>
      <c r="SM4" s="47"/>
      <c r="SN4" s="47"/>
      <c r="SO4" s="47"/>
      <c r="SP4" s="47"/>
      <c r="SQ4" s="47"/>
      <c r="SR4" s="47"/>
      <c r="SS4" s="47"/>
      <c r="ST4" s="47"/>
      <c r="SU4" s="47"/>
      <c r="SV4" s="47"/>
      <c r="SW4" s="47"/>
      <c r="SX4" s="47"/>
      <c r="SY4" s="47"/>
      <c r="SZ4" s="47"/>
      <c r="TA4" s="47"/>
      <c r="TB4" s="47"/>
      <c r="TC4" s="47"/>
      <c r="TD4" s="47"/>
      <c r="TE4" s="47"/>
      <c r="TF4" s="47"/>
      <c r="TG4" s="47"/>
      <c r="TH4" s="47"/>
      <c r="TI4" s="47"/>
      <c r="TJ4" s="47"/>
      <c r="TK4" s="47"/>
      <c r="TL4" s="47"/>
      <c r="TM4" s="47"/>
      <c r="TN4" s="47"/>
      <c r="TO4" s="47"/>
      <c r="TP4" s="47"/>
      <c r="TQ4" s="47"/>
      <c r="TR4" s="47"/>
      <c r="TS4" s="47"/>
      <c r="TT4" s="47"/>
      <c r="TU4" s="47"/>
      <c r="TV4" s="47"/>
      <c r="TW4" s="47"/>
      <c r="TX4" s="47"/>
      <c r="TY4" s="47"/>
      <c r="TZ4" s="47"/>
      <c r="UA4" s="47"/>
      <c r="UB4" s="47"/>
      <c r="UC4" s="47"/>
      <c r="UD4" s="47"/>
      <c r="UE4" s="47"/>
      <c r="UF4" s="47"/>
      <c r="UG4" s="47"/>
      <c r="UH4" s="47"/>
      <c r="UI4" s="47"/>
      <c r="UJ4" s="47"/>
      <c r="UK4" s="47"/>
      <c r="UL4" s="47"/>
      <c r="UM4" s="47"/>
      <c r="UN4" s="47"/>
      <c r="UO4" s="47"/>
      <c r="UP4" s="47"/>
      <c r="UQ4" s="47"/>
      <c r="UR4" s="47"/>
      <c r="US4" s="47"/>
      <c r="UT4" s="47"/>
      <c r="UU4" s="47"/>
      <c r="UV4" s="47"/>
      <c r="UW4" s="47"/>
      <c r="UX4" s="47"/>
      <c r="UY4" s="47"/>
      <c r="UZ4" s="47"/>
      <c r="VA4" s="47"/>
      <c r="VB4" s="47"/>
      <c r="VC4" s="47"/>
      <c r="VD4" s="47"/>
      <c r="VE4" s="47"/>
      <c r="VF4" s="47"/>
      <c r="VG4" s="47"/>
      <c r="VH4" s="47"/>
      <c r="VI4" s="47"/>
      <c r="VJ4" s="47"/>
      <c r="VK4" s="47"/>
      <c r="VL4" s="47"/>
      <c r="VM4" s="47"/>
      <c r="VN4" s="47"/>
      <c r="VO4" s="47"/>
      <c r="VP4" s="47"/>
      <c r="VQ4" s="47"/>
      <c r="VR4" s="47"/>
      <c r="VS4" s="47"/>
      <c r="VT4" s="47"/>
      <c r="VU4" s="47"/>
      <c r="VV4" s="47"/>
      <c r="VW4" s="47"/>
      <c r="VX4" s="47"/>
      <c r="VY4" s="47"/>
      <c r="VZ4" s="47"/>
      <c r="WA4" s="47"/>
      <c r="WB4" s="47"/>
      <c r="WC4" s="47"/>
      <c r="WD4" s="47"/>
      <c r="WE4" s="47"/>
      <c r="WF4" s="47"/>
      <c r="WG4" s="47"/>
      <c r="WH4" s="47"/>
      <c r="WI4" s="47"/>
      <c r="WJ4" s="47"/>
      <c r="WK4" s="47"/>
      <c r="WL4" s="47"/>
      <c r="WM4" s="47"/>
      <c r="WN4" s="47"/>
      <c r="WO4" s="47"/>
      <c r="WP4" s="47"/>
      <c r="WQ4" s="47"/>
      <c r="WR4" s="47"/>
      <c r="WS4" s="47"/>
      <c r="WT4" s="47"/>
      <c r="WU4" s="47"/>
      <c r="WV4" s="47"/>
      <c r="WW4" s="47"/>
      <c r="WX4" s="47"/>
      <c r="WY4" s="47"/>
      <c r="WZ4" s="47"/>
      <c r="XA4" s="47"/>
      <c r="XB4" s="47"/>
      <c r="XC4" s="47"/>
      <c r="XD4" s="47"/>
      <c r="XE4" s="47"/>
      <c r="XF4" s="47"/>
      <c r="XG4" s="47"/>
      <c r="XH4" s="47"/>
      <c r="XI4" s="47"/>
      <c r="XJ4" s="47"/>
      <c r="XK4" s="47"/>
      <c r="XL4" s="47"/>
      <c r="XM4" s="47"/>
      <c r="XN4" s="47"/>
      <c r="XO4" s="47"/>
      <c r="XP4" s="47"/>
      <c r="XQ4" s="47"/>
      <c r="XR4" s="47"/>
      <c r="XS4" s="47"/>
      <c r="XT4" s="47"/>
      <c r="XU4" s="47"/>
      <c r="XV4" s="47"/>
      <c r="XW4" s="47"/>
      <c r="XX4" s="47"/>
      <c r="XY4" s="47"/>
      <c r="XZ4" s="47"/>
      <c r="YA4" s="47"/>
      <c r="YB4" s="47"/>
      <c r="YC4" s="47"/>
      <c r="YD4" s="47"/>
      <c r="YE4" s="47"/>
      <c r="YF4" s="47"/>
      <c r="YG4" s="47"/>
      <c r="YH4" s="47"/>
      <c r="YI4" s="47"/>
      <c r="YJ4" s="47"/>
      <c r="YK4" s="47"/>
      <c r="YL4" s="47"/>
      <c r="YM4" s="47"/>
      <c r="YN4" s="47"/>
      <c r="YO4" s="47"/>
      <c r="YP4" s="47"/>
      <c r="YQ4" s="47"/>
      <c r="YR4" s="47"/>
      <c r="YS4" s="47"/>
      <c r="YT4" s="47"/>
      <c r="YU4" s="47"/>
      <c r="YV4" s="47"/>
      <c r="YW4" s="47"/>
      <c r="YX4" s="47"/>
      <c r="YY4" s="47"/>
      <c r="YZ4" s="47"/>
      <c r="ZA4" s="47"/>
      <c r="ZB4" s="47"/>
      <c r="ZC4" s="47"/>
      <c r="ZD4" s="47"/>
      <c r="ZE4" s="47"/>
      <c r="ZF4" s="47"/>
      <c r="ZG4" s="47"/>
      <c r="ZH4" s="47"/>
      <c r="ZI4" s="47"/>
      <c r="ZJ4" s="47"/>
      <c r="ZK4" s="47"/>
      <c r="ZL4" s="47"/>
      <c r="ZM4" s="47"/>
      <c r="ZN4" s="47"/>
      <c r="ZO4" s="47"/>
      <c r="ZP4" s="47"/>
      <c r="ZQ4" s="47"/>
      <c r="ZR4" s="47"/>
      <c r="ZS4" s="47"/>
      <c r="ZT4" s="47"/>
      <c r="ZU4" s="47"/>
      <c r="ZV4" s="47"/>
      <c r="ZW4" s="47"/>
      <c r="ZX4" s="47"/>
      <c r="ZY4" s="47"/>
      <c r="ZZ4" s="47"/>
      <c r="AAA4" s="47"/>
      <c r="AAB4" s="47"/>
      <c r="AAC4" s="47"/>
      <c r="AAD4" s="47"/>
      <c r="AAE4" s="47"/>
      <c r="AAF4" s="47"/>
      <c r="AAG4" s="47"/>
      <c r="AAH4" s="47"/>
      <c r="AAI4" s="47"/>
      <c r="AAJ4" s="47"/>
      <c r="AAK4" s="47"/>
      <c r="AAL4" s="47"/>
      <c r="AAM4" s="47"/>
      <c r="AAN4" s="47"/>
      <c r="AAO4" s="47"/>
      <c r="AAP4" s="47"/>
      <c r="AAQ4" s="47"/>
      <c r="AAR4" s="47"/>
      <c r="AAS4" s="47"/>
      <c r="AAT4" s="47"/>
      <c r="AAU4" s="47"/>
      <c r="AAV4" s="47"/>
      <c r="AAW4" s="47"/>
      <c r="AAX4" s="47"/>
      <c r="AAY4" s="47"/>
      <c r="AAZ4" s="47"/>
      <c r="ABA4" s="47"/>
      <c r="ABB4" s="47"/>
      <c r="ABC4" s="47"/>
      <c r="ABD4" s="47"/>
      <c r="ABE4" s="47"/>
      <c r="ABF4" s="47"/>
      <c r="ABG4" s="47"/>
      <c r="ABH4" s="47"/>
      <c r="ABI4" s="47"/>
      <c r="ABJ4" s="47"/>
      <c r="ABK4" s="47"/>
      <c r="ABL4" s="47"/>
      <c r="ABM4" s="47"/>
      <c r="ABN4" s="47"/>
      <c r="ABO4" s="47"/>
      <c r="ABP4" s="47"/>
      <c r="ABQ4" s="47"/>
      <c r="ABR4" s="47"/>
      <c r="ABS4" s="47"/>
      <c r="ABT4" s="47"/>
      <c r="ABU4" s="47"/>
      <c r="ABV4" s="47"/>
      <c r="ABW4" s="47"/>
      <c r="ABX4" s="47"/>
      <c r="ABY4" s="47"/>
      <c r="ABZ4" s="47"/>
      <c r="ACA4" s="47"/>
      <c r="ACB4" s="47"/>
      <c r="ACC4" s="47"/>
      <c r="ACD4" s="47"/>
      <c r="ACE4" s="47"/>
      <c r="ACF4" s="47"/>
      <c r="ACG4" s="47"/>
      <c r="ACH4" s="47"/>
      <c r="ACI4" s="47"/>
      <c r="ACJ4" s="47"/>
      <c r="ACK4" s="47"/>
      <c r="ACL4" s="47"/>
      <c r="ACM4" s="47"/>
      <c r="ACN4" s="47"/>
      <c r="ACO4" s="47"/>
      <c r="ACP4" s="47"/>
      <c r="ACQ4" s="47"/>
      <c r="ACR4" s="47"/>
      <c r="ACS4" s="47"/>
      <c r="ACT4" s="47"/>
      <c r="ACU4" s="47"/>
      <c r="ACV4" s="47"/>
      <c r="ACW4" s="47"/>
      <c r="ACX4" s="47"/>
      <c r="ACY4" s="47"/>
      <c r="ACZ4" s="47"/>
      <c r="ADA4" s="47"/>
      <c r="ADB4" s="47"/>
      <c r="ADC4" s="47"/>
      <c r="ADD4" s="47"/>
      <c r="ADE4" s="47"/>
      <c r="ADF4" s="47"/>
      <c r="ADG4" s="47"/>
      <c r="ADH4" s="47"/>
      <c r="ADI4" s="47"/>
      <c r="ADJ4" s="47"/>
      <c r="ADK4" s="47"/>
      <c r="ADL4" s="47"/>
      <c r="ADM4" s="47"/>
      <c r="ADN4" s="47"/>
      <c r="ADO4" s="47"/>
      <c r="ADP4" s="47"/>
      <c r="ADQ4" s="47"/>
      <c r="ADR4" s="47"/>
      <c r="ADS4" s="47"/>
      <c r="ADT4" s="47"/>
      <c r="ADU4" s="47"/>
      <c r="ADV4" s="47"/>
      <c r="ADW4" s="47"/>
      <c r="ADX4" s="47"/>
      <c r="ADY4" s="47"/>
      <c r="ADZ4" s="47"/>
      <c r="AEA4" s="47"/>
      <c r="AEB4" s="47"/>
      <c r="AEC4" s="47"/>
      <c r="AED4" s="47"/>
      <c r="AEE4" s="47"/>
      <c r="AEF4" s="47"/>
      <c r="AEG4" s="47"/>
      <c r="AEH4" s="47"/>
      <c r="AEI4" s="47"/>
      <c r="AEJ4" s="47"/>
      <c r="AEK4" s="47"/>
      <c r="AEL4" s="47"/>
      <c r="AEM4" s="47"/>
      <c r="AEN4" s="47"/>
      <c r="AEO4" s="47"/>
      <c r="AEP4" s="47"/>
      <c r="AEQ4" s="47"/>
      <c r="AER4" s="47"/>
      <c r="AES4" s="47"/>
      <c r="AET4" s="47"/>
      <c r="AEU4" s="47"/>
      <c r="AEV4" s="47"/>
      <c r="AEW4" s="47"/>
      <c r="AEX4" s="47"/>
      <c r="AEY4" s="47"/>
      <c r="AEZ4" s="47"/>
      <c r="AFA4" s="47"/>
      <c r="AFB4" s="47"/>
      <c r="AFC4" s="47"/>
      <c r="AFD4" s="47"/>
      <c r="AFE4" s="47"/>
      <c r="AFF4" s="47"/>
      <c r="AFG4" s="47"/>
      <c r="AFH4" s="47"/>
      <c r="AFI4" s="47"/>
      <c r="AFJ4" s="47"/>
      <c r="AFK4" s="47"/>
      <c r="AFL4" s="47"/>
      <c r="AFM4" s="47"/>
      <c r="AFN4" s="47"/>
      <c r="AFO4" s="47"/>
      <c r="AFP4" s="47"/>
      <c r="AFQ4" s="47"/>
      <c r="AFR4" s="47"/>
      <c r="AFS4" s="47"/>
      <c r="AFT4" s="47"/>
      <c r="AFU4" s="47"/>
      <c r="AFV4" s="47"/>
      <c r="AFW4" s="47"/>
      <c r="AFX4" s="47"/>
      <c r="AFY4" s="47"/>
      <c r="AFZ4" s="47"/>
      <c r="AGA4" s="47"/>
      <c r="AGB4" s="47"/>
      <c r="AGC4" s="47"/>
      <c r="AGD4" s="47"/>
      <c r="AGE4" s="47"/>
      <c r="AGF4" s="47"/>
      <c r="AGG4" s="47"/>
      <c r="AGH4" s="47"/>
      <c r="AGI4" s="47"/>
      <c r="AGJ4" s="47"/>
      <c r="AGK4" s="47"/>
      <c r="AGL4" s="47"/>
      <c r="AGM4" s="47"/>
      <c r="AGN4" s="47"/>
      <c r="AGO4" s="47"/>
      <c r="AGP4" s="47"/>
      <c r="AGQ4" s="47"/>
      <c r="AGR4" s="47"/>
      <c r="AGS4" s="47"/>
      <c r="AGT4" s="47"/>
      <c r="AGU4" s="47"/>
      <c r="AGV4" s="47"/>
      <c r="AGW4" s="47"/>
      <c r="AGX4" s="47"/>
      <c r="AGY4" s="47"/>
      <c r="AGZ4" s="47"/>
      <c r="AHA4" s="47"/>
      <c r="AHB4" s="47"/>
      <c r="AHC4" s="47"/>
      <c r="AHD4" s="47"/>
      <c r="AHE4" s="47"/>
      <c r="AHF4" s="47"/>
      <c r="AHG4" s="47"/>
      <c r="AHH4" s="47"/>
      <c r="AHI4" s="47"/>
      <c r="AHJ4" s="47"/>
      <c r="AHK4" s="47"/>
      <c r="AHL4" s="47"/>
      <c r="AHM4" s="47"/>
      <c r="AHN4" s="47"/>
      <c r="AHO4" s="47"/>
      <c r="AHP4" s="47"/>
      <c r="AHQ4" s="47"/>
      <c r="AHR4" s="47"/>
      <c r="AHS4" s="47"/>
      <c r="AHT4" s="47"/>
      <c r="AHU4" s="47"/>
      <c r="AHV4" s="47"/>
      <c r="AHW4" s="47"/>
      <c r="AHX4" s="47"/>
      <c r="AHY4" s="47"/>
      <c r="AHZ4" s="47"/>
      <c r="AIA4" s="47"/>
      <c r="AIB4" s="47"/>
      <c r="AIC4" s="47"/>
      <c r="AID4" s="47"/>
      <c r="AIE4" s="47"/>
      <c r="AIF4" s="47"/>
      <c r="AIG4" s="47"/>
      <c r="AIH4" s="47"/>
      <c r="AII4" s="47"/>
      <c r="AIJ4" s="47"/>
      <c r="AIK4" s="47"/>
      <c r="AIL4" s="47"/>
      <c r="AIM4" s="47"/>
      <c r="AIN4" s="47"/>
      <c r="AIO4" s="47"/>
      <c r="AIP4" s="47"/>
      <c r="AIQ4" s="47"/>
      <c r="AIR4" s="47"/>
      <c r="AIS4" s="47"/>
      <c r="AIT4" s="47"/>
      <c r="AIU4" s="47"/>
      <c r="AIV4" s="47"/>
      <c r="AIW4" s="47"/>
      <c r="AIX4" s="47"/>
      <c r="AIY4" s="47"/>
      <c r="AIZ4" s="47"/>
      <c r="AJA4" s="47"/>
      <c r="AJB4" s="47"/>
      <c r="AJC4" s="47"/>
      <c r="AJD4" s="47"/>
      <c r="AJE4" s="47"/>
      <c r="AJF4" s="47"/>
      <c r="AJG4" s="47"/>
      <c r="AJH4" s="47"/>
      <c r="AJI4" s="47"/>
      <c r="AJJ4" s="47"/>
      <c r="AJK4" s="47"/>
      <c r="AJL4" s="47"/>
      <c r="AJM4" s="47"/>
      <c r="AJN4" s="47"/>
      <c r="AJO4" s="47"/>
      <c r="AJP4" s="47"/>
      <c r="AJQ4" s="47"/>
      <c r="AJR4" s="47"/>
      <c r="AJS4" s="47"/>
      <c r="AJT4" s="47"/>
      <c r="AJU4" s="47"/>
      <c r="AJV4" s="47"/>
      <c r="AJW4" s="47"/>
      <c r="AJX4" s="47"/>
      <c r="AJY4" s="47"/>
      <c r="AJZ4" s="47"/>
    </row>
    <row r="5" spans="1:962" ht="14.5" x14ac:dyDescent="0.35">
      <c r="A5" s="63">
        <v>3</v>
      </c>
      <c r="B5" s="67" t="str">
        <f>IF(E5&gt;1,"EN USO",IF(F5&gt;1,"EN USO",IF(G5&gt;1,"EN USO","FUERA DE SERVICIO")))</f>
        <v>EN USO</v>
      </c>
      <c r="C5" s="67" t="s">
        <v>155</v>
      </c>
      <c r="D5" s="67" t="s">
        <v>157</v>
      </c>
      <c r="E5" s="67" t="s">
        <v>177</v>
      </c>
      <c r="F5" s="67"/>
      <c r="G5" s="25" t="s">
        <v>177</v>
      </c>
      <c r="H5" s="79" t="s">
        <v>85</v>
      </c>
      <c r="I5" s="79"/>
      <c r="J5" s="79"/>
      <c r="K5" s="106" t="s">
        <v>86</v>
      </c>
      <c r="L5" s="75">
        <v>44502</v>
      </c>
      <c r="M5" s="107">
        <v>2015</v>
      </c>
      <c r="N5" s="78" t="s">
        <v>156</v>
      </c>
      <c r="O5" s="78">
        <v>36519581</v>
      </c>
      <c r="P5" s="26" t="s">
        <v>164</v>
      </c>
      <c r="Q5" s="75">
        <v>45887</v>
      </c>
      <c r="R5" s="76">
        <f ca="1">Q5-TODAY()</f>
        <v>-80</v>
      </c>
      <c r="S5" s="25" t="str">
        <f ca="1">IF(R5&gt;=30,"Vigente",IF(AND(R5&gt;=1,R5&lt;=30),"Por Vencer","Vencido"))</f>
        <v>Vencido</v>
      </c>
      <c r="T5" s="77">
        <v>45923</v>
      </c>
      <c r="U5" s="76">
        <f ca="1">T5-TODAY()</f>
        <v>-44</v>
      </c>
      <c r="V5" s="25" t="str">
        <f ca="1">IF(U5&gt;=30,"Vigente",IF(AND(U5&gt;=1,U5&lt;=30),"Por Vencer","Vencido"))</f>
        <v>Vencido</v>
      </c>
      <c r="W5" s="80">
        <v>45790</v>
      </c>
      <c r="X5" s="76">
        <f ca="1">W5-TODAY()</f>
        <v>-177</v>
      </c>
      <c r="Y5" s="25" t="str">
        <f ca="1">IF(X5&gt;=30,"Vigente",IF(AND(X5&gt;=1,X5&lt;=30),"Por Vencer","Vencido"))</f>
        <v>Vencido</v>
      </c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</row>
    <row r="6" spans="1:962" s="51" customFormat="1" ht="14.5" x14ac:dyDescent="0.35">
      <c r="A6" s="63">
        <v>4</v>
      </c>
      <c r="B6" s="67" t="str">
        <f>IF(E6&gt;1,"EN USO",IF(F6&gt;1,"EN USO",IF(G6&gt;1,"EN USO","FUERA DE SERVICIO")))</f>
        <v>EN USO</v>
      </c>
      <c r="C6" s="81" t="s">
        <v>87</v>
      </c>
      <c r="D6" s="81" t="s">
        <v>88</v>
      </c>
      <c r="E6" s="81" t="s">
        <v>177</v>
      </c>
      <c r="F6" s="81"/>
      <c r="G6" s="81"/>
      <c r="H6" s="82" t="s">
        <v>89</v>
      </c>
      <c r="I6" s="82" t="s">
        <v>90</v>
      </c>
      <c r="J6" s="82" t="s">
        <v>91</v>
      </c>
      <c r="K6" s="72" t="s">
        <v>86</v>
      </c>
      <c r="L6" s="109">
        <v>42018</v>
      </c>
      <c r="M6" s="83">
        <v>2015</v>
      </c>
      <c r="N6" s="72" t="s">
        <v>92</v>
      </c>
      <c r="O6" s="25">
        <v>36467499</v>
      </c>
      <c r="P6" s="26" t="s">
        <v>164</v>
      </c>
      <c r="Q6" s="75">
        <v>45887</v>
      </c>
      <c r="R6" s="76">
        <f ca="1">Q6-TODAY()</f>
        <v>-80</v>
      </c>
      <c r="S6" s="25" t="str">
        <f ca="1">IF(R6&gt;=30,"Vigente",IF(AND(R6&gt;=1,R6&lt;=30),"Por Vencer","Vencido"))</f>
        <v>Vencido</v>
      </c>
      <c r="T6" s="77">
        <v>45857</v>
      </c>
      <c r="U6" s="76">
        <f ca="1">T6-TODAY()</f>
        <v>-110</v>
      </c>
      <c r="V6" s="25" t="str">
        <f ca="1">IF(U6&gt;=30,"Vigente",IF(AND(U6&gt;=1,U6&lt;=30),"Por Vencer","Vencido"))</f>
        <v>Vencido</v>
      </c>
      <c r="W6" s="80">
        <v>45790</v>
      </c>
      <c r="X6" s="76">
        <f ca="1">W6-TODAY()</f>
        <v>-177</v>
      </c>
      <c r="Y6" s="25" t="str">
        <f ca="1">IF(X6&gt;=30,"Vigente",IF(AND(X6&gt;=1,X6&lt;=30),"Por Vencer","Vencido"))</f>
        <v>Vencido</v>
      </c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  <c r="EY6" s="44"/>
      <c r="EZ6" s="44"/>
      <c r="FA6" s="44"/>
      <c r="FB6" s="44"/>
      <c r="FC6" s="44"/>
      <c r="FD6" s="44"/>
      <c r="FE6" s="44"/>
      <c r="FF6" s="44"/>
      <c r="FG6" s="44"/>
      <c r="FH6" s="44"/>
      <c r="FI6" s="44"/>
      <c r="FJ6" s="44"/>
      <c r="FK6" s="44"/>
      <c r="FL6" s="44"/>
      <c r="FM6" s="44"/>
      <c r="FN6" s="44"/>
      <c r="FO6" s="44"/>
      <c r="FP6" s="44"/>
      <c r="FQ6" s="44"/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</row>
    <row r="7" spans="1:962" s="49" customFormat="1" ht="14.5" x14ac:dyDescent="0.35">
      <c r="A7" s="63">
        <v>5</v>
      </c>
      <c r="B7" s="84" t="s">
        <v>167</v>
      </c>
      <c r="C7" s="85"/>
      <c r="D7" s="85"/>
      <c r="E7" s="85"/>
      <c r="F7" s="85"/>
      <c r="G7" s="85"/>
      <c r="H7" s="86"/>
      <c r="I7" s="86"/>
      <c r="J7" s="86"/>
      <c r="K7" s="87"/>
      <c r="L7" s="88"/>
      <c r="M7" s="89"/>
      <c r="N7" s="87"/>
      <c r="O7" s="90"/>
      <c r="P7" s="91"/>
      <c r="Q7" s="92"/>
      <c r="R7" s="92"/>
      <c r="S7" s="92"/>
      <c r="T7" s="92"/>
      <c r="U7" s="92"/>
      <c r="V7" s="92"/>
      <c r="W7" s="92"/>
      <c r="X7" s="92"/>
      <c r="Y7" s="92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</row>
    <row r="8" spans="1:962" s="57" customFormat="1" ht="14.5" x14ac:dyDescent="0.35">
      <c r="A8" s="63">
        <v>6</v>
      </c>
      <c r="B8" s="93" t="s">
        <v>161</v>
      </c>
      <c r="C8" s="94" t="s">
        <v>93</v>
      </c>
      <c r="D8" s="94" t="s">
        <v>94</v>
      </c>
      <c r="E8" s="94"/>
      <c r="F8" s="94"/>
      <c r="G8" s="94"/>
      <c r="H8" s="95" t="s">
        <v>95</v>
      </c>
      <c r="I8" s="96" t="s">
        <v>96</v>
      </c>
      <c r="J8" s="97" t="s">
        <v>97</v>
      </c>
      <c r="K8" s="98" t="s">
        <v>86</v>
      </c>
      <c r="L8" s="114">
        <v>41815</v>
      </c>
      <c r="M8" s="96">
        <v>2015</v>
      </c>
      <c r="N8" s="96" t="s">
        <v>98</v>
      </c>
      <c r="O8" s="96">
        <v>8005445</v>
      </c>
      <c r="P8" s="96" t="s">
        <v>164</v>
      </c>
      <c r="Q8" s="99">
        <v>45887</v>
      </c>
      <c r="R8" s="76">
        <f t="shared" ref="R8:R16" ca="1" si="0">Q8-TODAY()</f>
        <v>-80</v>
      </c>
      <c r="S8" s="25" t="str">
        <f t="shared" ref="S8:S16" ca="1" si="1">IF(R8&gt;=30,"Vigente",IF(AND(R8&gt;=1,R8&lt;=30),"Por Vencer","Vencido"))</f>
        <v>Vencido</v>
      </c>
      <c r="T8" s="100" t="s">
        <v>178</v>
      </c>
      <c r="U8" s="76" t="e">
        <f t="shared" ref="U8:U16" ca="1" si="2">T8-TODAY()</f>
        <v>#VALUE!</v>
      </c>
      <c r="V8" s="25" t="e">
        <f t="shared" ref="V8:V16" ca="1" si="3">IF(U8&gt;=30,"Vigente",IF(AND(U8&gt;=1,U8&lt;=30),"Por Vencer","Vencido"))</f>
        <v>#VALUE!</v>
      </c>
      <c r="W8" s="101">
        <v>45790</v>
      </c>
      <c r="X8" s="76">
        <f t="shared" ref="X8:X16" ca="1" si="4">W8-TODAY()</f>
        <v>-177</v>
      </c>
      <c r="Y8" s="25" t="str">
        <f t="shared" ref="Y8:Y16" ca="1" si="5">IF(X8&gt;=30,"Vigente",IF(AND(X8&gt;=1,X8&lt;=30),"Por Vencer","Vencido"))</f>
        <v>Vencido</v>
      </c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</row>
    <row r="9" spans="1:962" s="48" customFormat="1" ht="14.5" x14ac:dyDescent="0.35">
      <c r="A9" s="63">
        <v>7</v>
      </c>
      <c r="B9" s="67" t="str">
        <f>IF(E9&gt;1,"EN USO",IF(F9&gt;1,"EN USO",IF(G9&gt;1,"EN USO","FUERA DE SERVICIO")))</f>
        <v>EN USO</v>
      </c>
      <c r="C9" s="67" t="s">
        <v>36</v>
      </c>
      <c r="D9" s="67" t="s">
        <v>100</v>
      </c>
      <c r="E9" s="67" t="s">
        <v>177</v>
      </c>
      <c r="F9" s="67"/>
      <c r="G9" s="67"/>
      <c r="H9" s="79" t="s">
        <v>85</v>
      </c>
      <c r="I9" s="79" t="s">
        <v>101</v>
      </c>
      <c r="J9" s="79" t="s">
        <v>102</v>
      </c>
      <c r="K9" s="106" t="s">
        <v>86</v>
      </c>
      <c r="L9" s="116">
        <v>42853</v>
      </c>
      <c r="M9" s="107">
        <v>2017</v>
      </c>
      <c r="N9" s="78" t="s">
        <v>103</v>
      </c>
      <c r="O9" s="78">
        <v>36557003</v>
      </c>
      <c r="P9" s="26" t="s">
        <v>164</v>
      </c>
      <c r="Q9" s="75">
        <v>45887</v>
      </c>
      <c r="R9" s="76">
        <f t="shared" ca="1" si="0"/>
        <v>-80</v>
      </c>
      <c r="S9" s="25" t="str">
        <f t="shared" ca="1" si="1"/>
        <v>Vencido</v>
      </c>
      <c r="T9" s="77">
        <v>45645</v>
      </c>
      <c r="U9" s="76">
        <f t="shared" ca="1" si="2"/>
        <v>-322</v>
      </c>
      <c r="V9" s="25" t="str">
        <f t="shared" ca="1" si="3"/>
        <v>Vencido</v>
      </c>
      <c r="W9" s="80">
        <v>45790</v>
      </c>
      <c r="X9" s="76">
        <f t="shared" ca="1" si="4"/>
        <v>-177</v>
      </c>
      <c r="Y9" s="25" t="str">
        <f t="shared" ca="1" si="5"/>
        <v>Vencido</v>
      </c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49"/>
      <c r="IO9" s="49"/>
      <c r="IP9" s="49"/>
      <c r="IQ9" s="49"/>
      <c r="IR9" s="49"/>
      <c r="IS9" s="49"/>
      <c r="IT9" s="49"/>
      <c r="IU9" s="49"/>
      <c r="IV9" s="49"/>
      <c r="IW9" s="49"/>
      <c r="IX9" s="49"/>
      <c r="IY9" s="49"/>
      <c r="IZ9" s="49"/>
      <c r="JA9" s="49"/>
      <c r="JB9" s="49"/>
      <c r="JC9" s="49"/>
      <c r="JD9" s="49"/>
      <c r="JE9" s="49"/>
      <c r="JF9" s="49"/>
      <c r="JG9" s="49"/>
      <c r="JH9" s="49"/>
      <c r="JI9" s="49"/>
      <c r="JJ9" s="49"/>
      <c r="JK9" s="49"/>
      <c r="JL9" s="49"/>
      <c r="JM9" s="49"/>
      <c r="JN9" s="49"/>
      <c r="JO9" s="49"/>
      <c r="JP9" s="49"/>
      <c r="JQ9" s="49"/>
      <c r="JR9" s="49"/>
      <c r="JS9" s="49"/>
      <c r="JT9" s="49"/>
      <c r="JU9" s="49"/>
      <c r="JV9" s="49"/>
      <c r="JW9" s="49"/>
      <c r="JX9" s="49"/>
      <c r="JY9" s="49"/>
      <c r="JZ9" s="49"/>
      <c r="KA9" s="49"/>
      <c r="KB9" s="49"/>
      <c r="KC9" s="49"/>
      <c r="KD9" s="49"/>
      <c r="KE9" s="49"/>
      <c r="KF9" s="49"/>
      <c r="KG9" s="49"/>
      <c r="KH9" s="49"/>
      <c r="KI9" s="49"/>
      <c r="KJ9" s="49"/>
      <c r="KK9" s="49"/>
      <c r="KL9" s="49"/>
      <c r="KM9" s="49"/>
      <c r="KN9" s="49"/>
      <c r="KO9" s="49"/>
      <c r="KP9" s="49"/>
      <c r="KQ9" s="49"/>
      <c r="KR9" s="49"/>
      <c r="KS9" s="49"/>
      <c r="KT9" s="49"/>
      <c r="KU9" s="49"/>
      <c r="KV9" s="49"/>
      <c r="KW9" s="49"/>
      <c r="KX9" s="49"/>
      <c r="KY9" s="49"/>
      <c r="KZ9" s="49"/>
      <c r="LA9" s="49"/>
      <c r="LB9" s="49"/>
      <c r="LC9" s="49"/>
      <c r="LD9" s="49"/>
      <c r="LE9" s="49"/>
      <c r="LF9" s="49"/>
      <c r="LG9" s="49"/>
      <c r="LH9" s="49"/>
      <c r="LI9" s="49"/>
      <c r="LJ9" s="49"/>
      <c r="LK9" s="49"/>
      <c r="LL9" s="49"/>
      <c r="LM9" s="49"/>
      <c r="LN9" s="49"/>
      <c r="LO9" s="49"/>
      <c r="LP9" s="49"/>
      <c r="LQ9" s="49"/>
      <c r="LR9" s="49"/>
      <c r="LS9" s="49"/>
      <c r="LT9" s="49"/>
      <c r="LU9" s="49"/>
      <c r="LV9" s="49"/>
      <c r="LW9" s="49"/>
      <c r="LX9" s="49"/>
      <c r="LY9" s="49"/>
      <c r="LZ9" s="49"/>
      <c r="MA9" s="49"/>
      <c r="MB9" s="49"/>
      <c r="MC9" s="49"/>
      <c r="MD9" s="49"/>
      <c r="ME9" s="49"/>
      <c r="MF9" s="49"/>
      <c r="MG9" s="49"/>
      <c r="MH9" s="49"/>
      <c r="MI9" s="49"/>
      <c r="MJ9" s="49"/>
      <c r="MK9" s="49"/>
      <c r="ML9" s="49"/>
      <c r="MM9" s="49"/>
      <c r="MN9" s="49"/>
      <c r="MO9" s="49"/>
      <c r="MP9" s="49"/>
      <c r="MQ9" s="49"/>
      <c r="MR9" s="49"/>
      <c r="MS9" s="49"/>
      <c r="MT9" s="49"/>
      <c r="MU9" s="49"/>
      <c r="MV9" s="49"/>
      <c r="MW9" s="49"/>
      <c r="MX9" s="49"/>
      <c r="MY9" s="49"/>
      <c r="MZ9" s="49"/>
      <c r="NA9" s="49"/>
      <c r="NB9" s="49"/>
      <c r="NC9" s="49"/>
      <c r="ND9" s="49"/>
      <c r="NE9" s="49"/>
      <c r="NF9" s="49"/>
      <c r="NG9" s="49"/>
      <c r="NH9" s="49"/>
      <c r="NI9" s="49"/>
      <c r="NJ9" s="49"/>
      <c r="NK9" s="49"/>
      <c r="NL9" s="49"/>
      <c r="NM9" s="49"/>
      <c r="NN9" s="49"/>
      <c r="NO9" s="49"/>
      <c r="NP9" s="49"/>
      <c r="NQ9" s="49"/>
      <c r="NR9" s="49"/>
      <c r="NS9" s="49"/>
      <c r="NT9" s="49"/>
      <c r="NU9" s="49"/>
      <c r="NV9" s="49"/>
      <c r="NW9" s="49"/>
      <c r="NX9" s="49"/>
      <c r="NY9" s="49"/>
      <c r="NZ9" s="49"/>
      <c r="OA9" s="49"/>
      <c r="OB9" s="49"/>
      <c r="OC9" s="49"/>
      <c r="OD9" s="49"/>
      <c r="OE9" s="49"/>
      <c r="OF9" s="49"/>
      <c r="OG9" s="49"/>
      <c r="OH9" s="49"/>
      <c r="OI9" s="49"/>
      <c r="OJ9" s="49"/>
      <c r="OK9" s="49"/>
      <c r="OL9" s="49"/>
      <c r="OM9" s="49"/>
      <c r="ON9" s="49"/>
      <c r="OO9" s="49"/>
      <c r="OP9" s="49"/>
      <c r="OQ9" s="49"/>
      <c r="OR9" s="49"/>
      <c r="OS9" s="49"/>
      <c r="OT9" s="49"/>
      <c r="OU9" s="49"/>
      <c r="OV9" s="49"/>
      <c r="OW9" s="49"/>
      <c r="OX9" s="49"/>
      <c r="OY9" s="49"/>
      <c r="OZ9" s="49"/>
      <c r="PA9" s="49"/>
      <c r="PB9" s="49"/>
      <c r="PC9" s="49"/>
      <c r="PD9" s="49"/>
      <c r="PE9" s="49"/>
      <c r="PF9" s="49"/>
      <c r="PG9" s="49"/>
      <c r="PH9" s="49"/>
      <c r="PI9" s="49"/>
      <c r="PJ9" s="49"/>
      <c r="PK9" s="49"/>
      <c r="PL9" s="49"/>
      <c r="PM9" s="49"/>
      <c r="PN9" s="49"/>
      <c r="PO9" s="49"/>
      <c r="PP9" s="49"/>
      <c r="PQ9" s="49"/>
      <c r="PR9" s="49"/>
      <c r="PS9" s="49"/>
      <c r="PT9" s="49"/>
      <c r="PU9" s="49"/>
      <c r="PV9" s="49"/>
      <c r="PW9" s="49"/>
      <c r="PX9" s="49"/>
      <c r="PY9" s="49"/>
      <c r="PZ9" s="49"/>
      <c r="QA9" s="49"/>
      <c r="QB9" s="49"/>
      <c r="QC9" s="49"/>
      <c r="QD9" s="49"/>
      <c r="QE9" s="49"/>
      <c r="QF9" s="49"/>
      <c r="QG9" s="49"/>
      <c r="QH9" s="49"/>
      <c r="QI9" s="49"/>
      <c r="QJ9" s="49"/>
      <c r="QK9" s="49"/>
      <c r="QL9" s="49"/>
      <c r="QM9" s="49"/>
      <c r="QN9" s="49"/>
      <c r="QO9" s="49"/>
      <c r="QP9" s="49"/>
      <c r="QQ9" s="49"/>
      <c r="QR9" s="49"/>
      <c r="QS9" s="49"/>
      <c r="QT9" s="49"/>
      <c r="QU9" s="49"/>
      <c r="QV9" s="49"/>
      <c r="QW9" s="49"/>
      <c r="QX9" s="49"/>
      <c r="QY9" s="49"/>
      <c r="QZ9" s="49"/>
      <c r="RA9" s="49"/>
      <c r="RB9" s="49"/>
      <c r="RC9" s="49"/>
      <c r="RD9" s="49"/>
      <c r="RE9" s="49"/>
      <c r="RF9" s="49"/>
      <c r="RG9" s="49"/>
      <c r="RH9" s="49"/>
      <c r="RI9" s="49"/>
      <c r="RJ9" s="49"/>
      <c r="RK9" s="49"/>
      <c r="RL9" s="49"/>
      <c r="RM9" s="49"/>
      <c r="RN9" s="49"/>
      <c r="RO9" s="49"/>
      <c r="RP9" s="49"/>
      <c r="RQ9" s="49"/>
      <c r="RR9" s="49"/>
      <c r="RS9" s="49"/>
      <c r="RT9" s="49"/>
      <c r="RU9" s="49"/>
      <c r="RV9" s="49"/>
      <c r="RW9" s="49"/>
      <c r="RX9" s="49"/>
      <c r="RY9" s="49"/>
      <c r="RZ9" s="49"/>
      <c r="SA9" s="49"/>
      <c r="SB9" s="49"/>
      <c r="SC9" s="49"/>
      <c r="SD9" s="49"/>
      <c r="SE9" s="49"/>
      <c r="SF9" s="49"/>
      <c r="SG9" s="49"/>
      <c r="SH9" s="49"/>
      <c r="SI9" s="49"/>
      <c r="SJ9" s="49"/>
      <c r="SK9" s="49"/>
      <c r="SL9" s="49"/>
      <c r="SM9" s="49"/>
      <c r="SN9" s="49"/>
      <c r="SO9" s="49"/>
      <c r="SP9" s="49"/>
      <c r="SQ9" s="49"/>
      <c r="SR9" s="49"/>
      <c r="SS9" s="49"/>
      <c r="ST9" s="49"/>
      <c r="SU9" s="49"/>
      <c r="SV9" s="49"/>
      <c r="SW9" s="49"/>
      <c r="SX9" s="49"/>
      <c r="SY9" s="49"/>
      <c r="SZ9" s="49"/>
      <c r="TA9" s="49"/>
      <c r="TB9" s="49"/>
      <c r="TC9" s="49"/>
      <c r="TD9" s="49"/>
      <c r="TE9" s="49"/>
      <c r="TF9" s="49"/>
      <c r="TG9" s="49"/>
      <c r="TH9" s="49"/>
      <c r="TI9" s="49"/>
      <c r="TJ9" s="49"/>
      <c r="TK9" s="49"/>
      <c r="TL9" s="49"/>
      <c r="TM9" s="49"/>
      <c r="TN9" s="49"/>
      <c r="TO9" s="49"/>
      <c r="TP9" s="49"/>
      <c r="TQ9" s="49"/>
      <c r="TR9" s="49"/>
      <c r="TS9" s="49"/>
      <c r="TT9" s="49"/>
      <c r="TU9" s="49"/>
      <c r="TV9" s="49"/>
      <c r="TW9" s="49"/>
      <c r="TX9" s="49"/>
      <c r="TY9" s="49"/>
      <c r="TZ9" s="49"/>
      <c r="UA9" s="49"/>
      <c r="UB9" s="49"/>
      <c r="UC9" s="49"/>
      <c r="UD9" s="49"/>
      <c r="UE9" s="49"/>
      <c r="UF9" s="49"/>
      <c r="UG9" s="49"/>
      <c r="UH9" s="49"/>
      <c r="UI9" s="49"/>
      <c r="UJ9" s="49"/>
      <c r="UK9" s="49"/>
      <c r="UL9" s="49"/>
      <c r="UM9" s="49"/>
      <c r="UN9" s="49"/>
      <c r="UO9" s="49"/>
      <c r="UP9" s="49"/>
      <c r="UQ9" s="49"/>
      <c r="UR9" s="49"/>
      <c r="US9" s="49"/>
      <c r="UT9" s="49"/>
      <c r="UU9" s="49"/>
      <c r="UV9" s="49"/>
      <c r="UW9" s="49"/>
      <c r="UX9" s="49"/>
      <c r="UY9" s="49"/>
      <c r="UZ9" s="49"/>
      <c r="VA9" s="49"/>
      <c r="VB9" s="49"/>
      <c r="VC9" s="49"/>
      <c r="VD9" s="49"/>
      <c r="VE9" s="49"/>
      <c r="VF9" s="49"/>
      <c r="VG9" s="49"/>
      <c r="VH9" s="49"/>
      <c r="VI9" s="49"/>
      <c r="VJ9" s="49"/>
      <c r="VK9" s="49"/>
      <c r="VL9" s="49"/>
      <c r="VM9" s="49"/>
      <c r="VN9" s="49"/>
      <c r="VO9" s="49"/>
      <c r="VP9" s="49"/>
      <c r="VQ9" s="49"/>
      <c r="VR9" s="49"/>
      <c r="VS9" s="49"/>
      <c r="VT9" s="49"/>
      <c r="VU9" s="49"/>
      <c r="VV9" s="49"/>
      <c r="VW9" s="49"/>
      <c r="VX9" s="49"/>
      <c r="VY9" s="49"/>
      <c r="VZ9" s="49"/>
      <c r="WA9" s="49"/>
      <c r="WB9" s="49"/>
      <c r="WC9" s="49"/>
      <c r="WD9" s="49"/>
      <c r="WE9" s="49"/>
      <c r="WF9" s="49"/>
      <c r="WG9" s="49"/>
      <c r="WH9" s="49"/>
      <c r="WI9" s="49"/>
      <c r="WJ9" s="49"/>
      <c r="WK9" s="49"/>
      <c r="WL9" s="49"/>
      <c r="WM9" s="49"/>
      <c r="WN9" s="49"/>
      <c r="WO9" s="49"/>
      <c r="WP9" s="49"/>
      <c r="WQ9" s="49"/>
      <c r="WR9" s="49"/>
      <c r="WS9" s="49"/>
      <c r="WT9" s="49"/>
      <c r="WU9" s="49"/>
      <c r="WV9" s="49"/>
      <c r="WW9" s="49"/>
      <c r="WX9" s="49"/>
      <c r="WY9" s="49"/>
      <c r="WZ9" s="49"/>
      <c r="XA9" s="49"/>
      <c r="XB9" s="49"/>
      <c r="XC9" s="49"/>
      <c r="XD9" s="49"/>
      <c r="XE9" s="49"/>
      <c r="XF9" s="49"/>
      <c r="XG9" s="49"/>
      <c r="XH9" s="49"/>
      <c r="XI9" s="49"/>
      <c r="XJ9" s="49"/>
      <c r="XK9" s="49"/>
      <c r="XL9" s="49"/>
      <c r="XM9" s="49"/>
      <c r="XN9" s="49"/>
      <c r="XO9" s="49"/>
      <c r="XP9" s="49"/>
      <c r="XQ9" s="49"/>
      <c r="XR9" s="49"/>
      <c r="XS9" s="49"/>
      <c r="XT9" s="49"/>
      <c r="XU9" s="49"/>
      <c r="XV9" s="49"/>
      <c r="XW9" s="49"/>
      <c r="XX9" s="49"/>
      <c r="XY9" s="49"/>
      <c r="XZ9" s="49"/>
      <c r="YA9" s="49"/>
      <c r="YB9" s="49"/>
      <c r="YC9" s="49"/>
      <c r="YD9" s="49"/>
      <c r="YE9" s="49"/>
      <c r="YF9" s="49"/>
      <c r="YG9" s="49"/>
      <c r="YH9" s="49"/>
      <c r="YI9" s="49"/>
      <c r="YJ9" s="49"/>
      <c r="YK9" s="49"/>
      <c r="YL9" s="49"/>
      <c r="YM9" s="49"/>
      <c r="YN9" s="49"/>
      <c r="YO9" s="49"/>
      <c r="YP9" s="49"/>
      <c r="YQ9" s="49"/>
      <c r="YR9" s="49"/>
      <c r="YS9" s="49"/>
      <c r="YT9" s="49"/>
      <c r="YU9" s="49"/>
      <c r="YV9" s="49"/>
      <c r="YW9" s="49"/>
      <c r="YX9" s="49"/>
      <c r="YY9" s="49"/>
      <c r="YZ9" s="49"/>
      <c r="ZA9" s="49"/>
      <c r="ZB9" s="49"/>
      <c r="ZC9" s="49"/>
      <c r="ZD9" s="49"/>
      <c r="ZE9" s="49"/>
      <c r="ZF9" s="49"/>
      <c r="ZG9" s="49"/>
      <c r="ZH9" s="49"/>
      <c r="ZI9" s="49"/>
      <c r="ZJ9" s="49"/>
      <c r="ZK9" s="49"/>
      <c r="ZL9" s="49"/>
      <c r="ZM9" s="49"/>
      <c r="ZN9" s="49"/>
      <c r="ZO9" s="49"/>
      <c r="ZP9" s="49"/>
      <c r="ZQ9" s="49"/>
      <c r="ZR9" s="49"/>
      <c r="ZS9" s="49"/>
      <c r="ZT9" s="49"/>
      <c r="ZU9" s="49"/>
      <c r="ZV9" s="49"/>
      <c r="ZW9" s="49"/>
      <c r="ZX9" s="49"/>
      <c r="ZY9" s="49"/>
      <c r="ZZ9" s="49"/>
      <c r="AAA9" s="49"/>
      <c r="AAB9" s="49"/>
      <c r="AAC9" s="49"/>
      <c r="AAD9" s="49"/>
      <c r="AAE9" s="49"/>
      <c r="AAF9" s="49"/>
      <c r="AAG9" s="49"/>
      <c r="AAH9" s="49"/>
      <c r="AAI9" s="49"/>
      <c r="AAJ9" s="49"/>
      <c r="AAK9" s="49"/>
      <c r="AAL9" s="49"/>
      <c r="AAM9" s="49"/>
      <c r="AAN9" s="49"/>
      <c r="AAO9" s="49"/>
      <c r="AAP9" s="49"/>
      <c r="AAQ9" s="49"/>
      <c r="AAR9" s="49"/>
      <c r="AAS9" s="49"/>
      <c r="AAT9" s="49"/>
      <c r="AAU9" s="49"/>
      <c r="AAV9" s="49"/>
      <c r="AAW9" s="49"/>
      <c r="AAX9" s="49"/>
      <c r="AAY9" s="49"/>
      <c r="AAZ9" s="49"/>
      <c r="ABA9" s="49"/>
      <c r="ABB9" s="49"/>
      <c r="ABC9" s="49"/>
      <c r="ABD9" s="49"/>
      <c r="ABE9" s="49"/>
      <c r="ABF9" s="49"/>
      <c r="ABG9" s="49"/>
      <c r="ABH9" s="49"/>
      <c r="ABI9" s="49"/>
      <c r="ABJ9" s="49"/>
      <c r="ABK9" s="49"/>
      <c r="ABL9" s="49"/>
      <c r="ABM9" s="49"/>
      <c r="ABN9" s="49"/>
      <c r="ABO9" s="49"/>
      <c r="ABP9" s="49"/>
      <c r="ABQ9" s="49"/>
      <c r="ABR9" s="49"/>
      <c r="ABS9" s="49"/>
      <c r="ABT9" s="49"/>
      <c r="ABU9" s="49"/>
      <c r="ABV9" s="49"/>
      <c r="ABW9" s="49"/>
      <c r="ABX9" s="49"/>
      <c r="ABY9" s="49"/>
      <c r="ABZ9" s="49"/>
      <c r="ACA9" s="49"/>
      <c r="ACB9" s="49"/>
      <c r="ACC9" s="49"/>
      <c r="ACD9" s="49"/>
      <c r="ACE9" s="49"/>
      <c r="ACF9" s="49"/>
      <c r="ACG9" s="49"/>
      <c r="ACH9" s="49"/>
      <c r="ACI9" s="49"/>
      <c r="ACJ9" s="49"/>
      <c r="ACK9" s="49"/>
      <c r="ACL9" s="49"/>
      <c r="ACM9" s="49"/>
      <c r="ACN9" s="49"/>
      <c r="ACO9" s="49"/>
      <c r="ACP9" s="49"/>
      <c r="ACQ9" s="49"/>
      <c r="ACR9" s="49"/>
      <c r="ACS9" s="49"/>
      <c r="ACT9" s="49"/>
      <c r="ACU9" s="49"/>
      <c r="ACV9" s="49"/>
      <c r="ACW9" s="49"/>
      <c r="ACX9" s="49"/>
      <c r="ACY9" s="49"/>
      <c r="ACZ9" s="49"/>
      <c r="ADA9" s="49"/>
      <c r="ADB9" s="49"/>
      <c r="ADC9" s="49"/>
      <c r="ADD9" s="49"/>
      <c r="ADE9" s="49"/>
      <c r="ADF9" s="49"/>
      <c r="ADG9" s="49"/>
      <c r="ADH9" s="49"/>
      <c r="ADI9" s="49"/>
      <c r="ADJ9" s="49"/>
      <c r="ADK9" s="49"/>
      <c r="ADL9" s="49"/>
      <c r="ADM9" s="49"/>
      <c r="ADN9" s="49"/>
      <c r="ADO9" s="49"/>
      <c r="ADP9" s="49"/>
      <c r="ADQ9" s="49"/>
      <c r="ADR9" s="49"/>
      <c r="ADS9" s="49"/>
      <c r="ADT9" s="49"/>
      <c r="ADU9" s="49"/>
      <c r="ADV9" s="49"/>
      <c r="ADW9" s="49"/>
      <c r="ADX9" s="49"/>
      <c r="ADY9" s="49"/>
      <c r="ADZ9" s="49"/>
      <c r="AEA9" s="49"/>
      <c r="AEB9" s="49"/>
      <c r="AEC9" s="49"/>
      <c r="AED9" s="49"/>
      <c r="AEE9" s="49"/>
      <c r="AEF9" s="49"/>
      <c r="AEG9" s="49"/>
      <c r="AEH9" s="49"/>
      <c r="AEI9" s="49"/>
      <c r="AEJ9" s="49"/>
      <c r="AEK9" s="49"/>
      <c r="AEL9" s="49"/>
      <c r="AEM9" s="49"/>
      <c r="AEN9" s="49"/>
      <c r="AEO9" s="49"/>
      <c r="AEP9" s="49"/>
      <c r="AEQ9" s="49"/>
      <c r="AER9" s="49"/>
      <c r="AES9" s="49"/>
      <c r="AET9" s="49"/>
      <c r="AEU9" s="49"/>
      <c r="AEV9" s="49"/>
      <c r="AEW9" s="49"/>
      <c r="AEX9" s="49"/>
      <c r="AEY9" s="49"/>
      <c r="AEZ9" s="49"/>
      <c r="AFA9" s="49"/>
      <c r="AFB9" s="49"/>
      <c r="AFC9" s="49"/>
      <c r="AFD9" s="49"/>
      <c r="AFE9" s="49"/>
      <c r="AFF9" s="49"/>
      <c r="AFG9" s="49"/>
      <c r="AFH9" s="49"/>
      <c r="AFI9" s="49"/>
      <c r="AFJ9" s="49"/>
      <c r="AFK9" s="49"/>
      <c r="AFL9" s="49"/>
      <c r="AFM9" s="49"/>
      <c r="AFN9" s="49"/>
      <c r="AFO9" s="49"/>
      <c r="AFP9" s="49"/>
      <c r="AFQ9" s="49"/>
      <c r="AFR9" s="49"/>
      <c r="AFS9" s="49"/>
      <c r="AFT9" s="49"/>
      <c r="AFU9" s="49"/>
      <c r="AFV9" s="49"/>
      <c r="AFW9" s="49"/>
      <c r="AFX9" s="49"/>
      <c r="AFY9" s="49"/>
      <c r="AFZ9" s="49"/>
      <c r="AGA9" s="49"/>
      <c r="AGB9" s="49"/>
      <c r="AGC9" s="49"/>
      <c r="AGD9" s="49"/>
      <c r="AGE9" s="49"/>
      <c r="AGF9" s="49"/>
      <c r="AGG9" s="49"/>
      <c r="AGH9" s="49"/>
      <c r="AGI9" s="49"/>
      <c r="AGJ9" s="49"/>
      <c r="AGK9" s="49"/>
      <c r="AGL9" s="49"/>
      <c r="AGM9" s="49"/>
      <c r="AGN9" s="49"/>
      <c r="AGO9" s="49"/>
      <c r="AGP9" s="49"/>
      <c r="AGQ9" s="49"/>
      <c r="AGR9" s="49"/>
      <c r="AGS9" s="49"/>
      <c r="AGT9" s="49"/>
      <c r="AGU9" s="49"/>
      <c r="AGV9" s="49"/>
      <c r="AGW9" s="49"/>
      <c r="AGX9" s="49"/>
      <c r="AGY9" s="49"/>
      <c r="AGZ9" s="49"/>
      <c r="AHA9" s="49"/>
      <c r="AHB9" s="49"/>
      <c r="AHC9" s="49"/>
      <c r="AHD9" s="49"/>
      <c r="AHE9" s="49"/>
      <c r="AHF9" s="49"/>
      <c r="AHG9" s="49"/>
      <c r="AHH9" s="49"/>
      <c r="AHI9" s="49"/>
      <c r="AHJ9" s="49"/>
      <c r="AHK9" s="49"/>
      <c r="AHL9" s="49"/>
      <c r="AHM9" s="49"/>
      <c r="AHN9" s="49"/>
      <c r="AHO9" s="49"/>
      <c r="AHP9" s="49"/>
      <c r="AHQ9" s="49"/>
      <c r="AHR9" s="49"/>
      <c r="AHS9" s="49"/>
      <c r="AHT9" s="49"/>
      <c r="AHU9" s="49"/>
      <c r="AHV9" s="49"/>
      <c r="AHW9" s="49"/>
      <c r="AHX9" s="49"/>
      <c r="AHY9" s="49"/>
      <c r="AHZ9" s="49"/>
      <c r="AIA9" s="49"/>
      <c r="AIB9" s="49"/>
      <c r="AIC9" s="49"/>
      <c r="AID9" s="49"/>
      <c r="AIE9" s="49"/>
      <c r="AIF9" s="49"/>
      <c r="AIG9" s="49"/>
      <c r="AIH9" s="49"/>
      <c r="AII9" s="49"/>
      <c r="AIJ9" s="49"/>
      <c r="AIK9" s="49"/>
      <c r="AIL9" s="49"/>
      <c r="AIM9" s="49"/>
      <c r="AIN9" s="49"/>
      <c r="AIO9" s="49"/>
      <c r="AIP9" s="49"/>
      <c r="AIQ9" s="49"/>
      <c r="AIR9" s="49"/>
      <c r="AIS9" s="49"/>
      <c r="AIT9" s="49"/>
      <c r="AIU9" s="49"/>
      <c r="AIV9" s="49"/>
      <c r="AIW9" s="49"/>
      <c r="AIX9" s="49"/>
      <c r="AIY9" s="49"/>
      <c r="AIZ9" s="49"/>
      <c r="AJA9" s="49"/>
      <c r="AJB9" s="49"/>
      <c r="AJC9" s="49"/>
      <c r="AJD9" s="49"/>
      <c r="AJE9" s="49"/>
      <c r="AJF9" s="49"/>
      <c r="AJG9" s="49"/>
      <c r="AJH9" s="49"/>
      <c r="AJI9" s="49"/>
      <c r="AJJ9" s="49"/>
      <c r="AJK9" s="49"/>
      <c r="AJL9" s="49"/>
      <c r="AJM9" s="49"/>
      <c r="AJN9" s="49"/>
      <c r="AJO9" s="49"/>
      <c r="AJP9" s="49"/>
      <c r="AJQ9" s="49"/>
      <c r="AJR9" s="49"/>
      <c r="AJS9" s="49"/>
      <c r="AJT9" s="49"/>
      <c r="AJU9" s="49"/>
      <c r="AJV9" s="49"/>
      <c r="AJW9" s="49"/>
      <c r="AJX9" s="49"/>
      <c r="AJY9" s="49"/>
      <c r="AJZ9" s="49"/>
    </row>
    <row r="10" spans="1:962" s="51" customFormat="1" ht="14.5" x14ac:dyDescent="0.35">
      <c r="A10" s="63">
        <v>8</v>
      </c>
      <c r="B10" s="67" t="str">
        <f>IF(E10&gt;1,"EN USO",IF(F10&gt;1,"EN USO",IF(G10&gt;1,"EN USO","FUERA DE SERVICIO")))</f>
        <v>EN USO</v>
      </c>
      <c r="C10" s="67" t="s">
        <v>32</v>
      </c>
      <c r="D10" s="67" t="s">
        <v>104</v>
      </c>
      <c r="E10" s="67" t="s">
        <v>177</v>
      </c>
      <c r="F10" s="67"/>
      <c r="G10" s="67"/>
      <c r="H10" s="79" t="s">
        <v>85</v>
      </c>
      <c r="I10" s="79" t="s">
        <v>101</v>
      </c>
      <c r="J10" s="79" t="s">
        <v>102</v>
      </c>
      <c r="K10" s="106" t="s">
        <v>86</v>
      </c>
      <c r="L10" s="116">
        <v>42853</v>
      </c>
      <c r="M10" s="107">
        <v>2017</v>
      </c>
      <c r="N10" s="78" t="s">
        <v>105</v>
      </c>
      <c r="O10" s="78">
        <v>36556830</v>
      </c>
      <c r="P10" s="26" t="s">
        <v>164</v>
      </c>
      <c r="Q10" s="75">
        <v>45887</v>
      </c>
      <c r="R10" s="76">
        <f t="shared" ca="1" si="0"/>
        <v>-80</v>
      </c>
      <c r="S10" s="25" t="str">
        <f t="shared" ca="1" si="1"/>
        <v>Vencido</v>
      </c>
      <c r="T10" s="77">
        <v>45937</v>
      </c>
      <c r="U10" s="76">
        <f t="shared" ca="1" si="2"/>
        <v>-30</v>
      </c>
      <c r="V10" s="25" t="str">
        <f t="shared" ca="1" si="3"/>
        <v>Vencido</v>
      </c>
      <c r="W10" s="80">
        <v>45790</v>
      </c>
      <c r="X10" s="76">
        <f t="shared" ca="1" si="4"/>
        <v>-177</v>
      </c>
      <c r="Y10" s="25" t="str">
        <f t="shared" ca="1" si="5"/>
        <v>Vencido</v>
      </c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</row>
    <row r="11" spans="1:962" s="51" customFormat="1" ht="14.5" x14ac:dyDescent="0.35">
      <c r="A11" s="63">
        <v>9</v>
      </c>
      <c r="B11" s="93" t="s">
        <v>161</v>
      </c>
      <c r="C11" s="102" t="s">
        <v>33</v>
      </c>
      <c r="D11" s="102" t="s">
        <v>116</v>
      </c>
      <c r="E11" s="93"/>
      <c r="F11" s="102" t="s">
        <v>84</v>
      </c>
      <c r="G11" s="102"/>
      <c r="H11" s="96" t="s">
        <v>89</v>
      </c>
      <c r="I11" s="103" t="s">
        <v>117</v>
      </c>
      <c r="J11" s="103" t="s">
        <v>102</v>
      </c>
      <c r="K11" s="110" t="s">
        <v>86</v>
      </c>
      <c r="L11" s="117">
        <v>43584</v>
      </c>
      <c r="M11" s="112">
        <v>2019</v>
      </c>
      <c r="N11" s="104" t="s">
        <v>118</v>
      </c>
      <c r="O11" s="104">
        <v>36596155</v>
      </c>
      <c r="P11" s="96" t="s">
        <v>164</v>
      </c>
      <c r="Q11" s="99">
        <v>45887</v>
      </c>
      <c r="R11" s="76">
        <f t="shared" ca="1" si="0"/>
        <v>-80</v>
      </c>
      <c r="S11" s="25" t="str">
        <f t="shared" ca="1" si="1"/>
        <v>Vencido</v>
      </c>
      <c r="T11" s="100">
        <v>45863</v>
      </c>
      <c r="U11" s="76">
        <f t="shared" ca="1" si="2"/>
        <v>-104</v>
      </c>
      <c r="V11" s="25" t="str">
        <f t="shared" ca="1" si="3"/>
        <v>Vencido</v>
      </c>
      <c r="W11" s="101">
        <v>45801</v>
      </c>
      <c r="X11" s="76">
        <f t="shared" ca="1" si="4"/>
        <v>-166</v>
      </c>
      <c r="Y11" s="25" t="str">
        <f t="shared" ca="1" si="5"/>
        <v>Vencido</v>
      </c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44"/>
      <c r="PV11" s="44"/>
      <c r="PW11" s="44"/>
      <c r="PX11" s="44"/>
      <c r="PY11" s="44"/>
      <c r="PZ11" s="44"/>
      <c r="QA11" s="44"/>
      <c r="QB11" s="44"/>
      <c r="QC11" s="44"/>
      <c r="QD11" s="44"/>
      <c r="QE11" s="44"/>
      <c r="QF11" s="44"/>
      <c r="QG11" s="44"/>
      <c r="QH11" s="44"/>
      <c r="QI11" s="44"/>
      <c r="QJ11" s="44"/>
      <c r="QK11" s="44"/>
      <c r="QL11" s="44"/>
      <c r="QM11" s="44"/>
      <c r="QN11" s="44"/>
      <c r="QO11" s="44"/>
      <c r="QP11" s="44"/>
      <c r="QQ11" s="44"/>
      <c r="QR11" s="44"/>
      <c r="QS11" s="44"/>
      <c r="QT11" s="44"/>
      <c r="QU11" s="44"/>
      <c r="QV11" s="44"/>
      <c r="QW11" s="44"/>
      <c r="QX11" s="44"/>
      <c r="QY11" s="44"/>
      <c r="QZ11" s="44"/>
      <c r="RA11" s="44"/>
      <c r="RB11" s="44"/>
      <c r="RC11" s="44"/>
      <c r="RD11" s="44"/>
      <c r="RE11" s="44"/>
      <c r="RF11" s="44"/>
      <c r="RG11" s="44"/>
      <c r="RH11" s="44"/>
      <c r="RI11" s="44"/>
      <c r="RJ11" s="44"/>
      <c r="RK11" s="44"/>
      <c r="RL11" s="44"/>
      <c r="RM11" s="44"/>
      <c r="RN11" s="44"/>
      <c r="RO11" s="44"/>
      <c r="RP11" s="44"/>
      <c r="RQ11" s="44"/>
      <c r="RR11" s="44"/>
      <c r="RS11" s="44"/>
      <c r="RT11" s="44"/>
      <c r="RU11" s="44"/>
      <c r="RV11" s="44"/>
      <c r="RW11" s="44"/>
      <c r="RX11" s="44"/>
      <c r="RY11" s="44"/>
      <c r="RZ11" s="44"/>
      <c r="SA11" s="44"/>
      <c r="SB11" s="44"/>
      <c r="SC11" s="44"/>
      <c r="SD11" s="44"/>
      <c r="SE11" s="44"/>
      <c r="SF11" s="44"/>
      <c r="SG11" s="44"/>
      <c r="SH11" s="44"/>
      <c r="SI11" s="44"/>
      <c r="SJ11" s="44"/>
      <c r="SK11" s="44"/>
      <c r="SL11" s="44"/>
      <c r="SM11" s="44"/>
      <c r="SN11" s="44"/>
      <c r="SO11" s="44"/>
      <c r="SP11" s="44"/>
      <c r="SQ11" s="44"/>
      <c r="SR11" s="44"/>
      <c r="SS11" s="44"/>
      <c r="ST11" s="44"/>
      <c r="SU11" s="44"/>
      <c r="SV11" s="44"/>
      <c r="SW11" s="44"/>
      <c r="SX11" s="44"/>
      <c r="SY11" s="44"/>
      <c r="SZ11" s="44"/>
      <c r="TA11" s="44"/>
      <c r="TB11" s="44"/>
      <c r="TC11" s="44"/>
      <c r="TD11" s="44"/>
      <c r="TE11" s="44"/>
      <c r="TF11" s="44"/>
      <c r="TG11" s="44"/>
      <c r="TH11" s="44"/>
      <c r="TI11" s="44"/>
      <c r="TJ11" s="44"/>
      <c r="TK11" s="44"/>
      <c r="TL11" s="44"/>
      <c r="TM11" s="44"/>
      <c r="TN11" s="44"/>
      <c r="TO11" s="44"/>
      <c r="TP11" s="44"/>
      <c r="TQ11" s="44"/>
      <c r="TR11" s="44"/>
      <c r="TS11" s="44"/>
      <c r="TT11" s="44"/>
      <c r="TU11" s="44"/>
      <c r="TV11" s="44"/>
      <c r="TW11" s="44"/>
      <c r="TX11" s="44"/>
      <c r="TY11" s="44"/>
      <c r="TZ11" s="44"/>
      <c r="UA11" s="44"/>
      <c r="UB11" s="44"/>
      <c r="UC11" s="44"/>
      <c r="UD11" s="44"/>
      <c r="UE11" s="44"/>
      <c r="UF11" s="44"/>
      <c r="UG11" s="44"/>
      <c r="UH11" s="44"/>
      <c r="UI11" s="44"/>
      <c r="UJ11" s="44"/>
      <c r="UK11" s="44"/>
      <c r="UL11" s="44"/>
      <c r="UM11" s="44"/>
      <c r="UN11" s="44"/>
      <c r="UO11" s="44"/>
      <c r="UP11" s="44"/>
      <c r="UQ11" s="44"/>
      <c r="UR11" s="44"/>
      <c r="US11" s="44"/>
      <c r="UT11" s="44"/>
      <c r="UU11" s="44"/>
      <c r="UV11" s="44"/>
      <c r="UW11" s="44"/>
      <c r="UX11" s="44"/>
      <c r="UY11" s="44"/>
      <c r="UZ11" s="44"/>
      <c r="VA11" s="44"/>
      <c r="VB11" s="44"/>
      <c r="VC11" s="44"/>
      <c r="VD11" s="44"/>
      <c r="VE11" s="44"/>
      <c r="VF11" s="44"/>
      <c r="VG11" s="44"/>
      <c r="VH11" s="44"/>
      <c r="VI11" s="44"/>
      <c r="VJ11" s="44"/>
      <c r="VK11" s="44"/>
      <c r="VL11" s="44"/>
      <c r="VM11" s="44"/>
      <c r="VN11" s="44"/>
      <c r="VO11" s="44"/>
      <c r="VP11" s="44"/>
      <c r="VQ11" s="44"/>
      <c r="VR11" s="44"/>
      <c r="VS11" s="44"/>
      <c r="VT11" s="44"/>
      <c r="VU11" s="44"/>
      <c r="VV11" s="44"/>
      <c r="VW11" s="44"/>
      <c r="VX11" s="44"/>
      <c r="VY11" s="44"/>
      <c r="VZ11" s="44"/>
      <c r="WA11" s="44"/>
      <c r="WB11" s="44"/>
      <c r="WC11" s="44"/>
      <c r="WD11" s="44"/>
      <c r="WE11" s="44"/>
      <c r="WF11" s="44"/>
      <c r="WG11" s="44"/>
      <c r="WH11" s="44"/>
      <c r="WI11" s="44"/>
      <c r="WJ11" s="44"/>
      <c r="WK11" s="44"/>
      <c r="WL11" s="44"/>
      <c r="WM11" s="44"/>
      <c r="WN11" s="44"/>
      <c r="WO11" s="44"/>
      <c r="WP11" s="44"/>
      <c r="WQ11" s="44"/>
      <c r="WR11" s="44"/>
      <c r="WS11" s="44"/>
      <c r="WT11" s="44"/>
      <c r="WU11" s="44"/>
      <c r="WV11" s="44"/>
      <c r="WW11" s="44"/>
      <c r="WX11" s="44"/>
      <c r="WY11" s="44"/>
      <c r="WZ11" s="44"/>
      <c r="XA11" s="44"/>
      <c r="XB11" s="44"/>
      <c r="XC11" s="44"/>
      <c r="XD11" s="44"/>
      <c r="XE11" s="44"/>
      <c r="XF11" s="44"/>
      <c r="XG11" s="44"/>
      <c r="XH11" s="44"/>
      <c r="XI11" s="44"/>
      <c r="XJ11" s="44"/>
      <c r="XK11" s="44"/>
      <c r="XL11" s="44"/>
      <c r="XM11" s="44"/>
      <c r="XN11" s="44"/>
      <c r="XO11" s="44"/>
      <c r="XP11" s="44"/>
      <c r="XQ11" s="44"/>
      <c r="XR11" s="44"/>
      <c r="XS11" s="44"/>
      <c r="XT11" s="44"/>
      <c r="XU11" s="44"/>
      <c r="XV11" s="44"/>
      <c r="XW11" s="44"/>
      <c r="XX11" s="44"/>
      <c r="XY11" s="44"/>
      <c r="XZ11" s="44"/>
      <c r="YA11" s="44"/>
      <c r="YB11" s="44"/>
      <c r="YC11" s="44"/>
      <c r="YD11" s="44"/>
      <c r="YE11" s="44"/>
      <c r="YF11" s="44"/>
      <c r="YG11" s="44"/>
      <c r="YH11" s="44"/>
      <c r="YI11" s="44"/>
      <c r="YJ11" s="44"/>
      <c r="YK11" s="44"/>
      <c r="YL11" s="44"/>
      <c r="YM11" s="44"/>
      <c r="YN11" s="44"/>
      <c r="YO11" s="44"/>
      <c r="YP11" s="44"/>
      <c r="YQ11" s="44"/>
      <c r="YR11" s="44"/>
      <c r="YS11" s="44"/>
      <c r="YT11" s="44"/>
      <c r="YU11" s="44"/>
      <c r="YV11" s="44"/>
      <c r="YW11" s="44"/>
      <c r="YX11" s="44"/>
      <c r="YY11" s="44"/>
      <c r="YZ11" s="44"/>
      <c r="ZA11" s="44"/>
      <c r="ZB11" s="44"/>
      <c r="ZC11" s="44"/>
      <c r="ZD11" s="44"/>
      <c r="ZE11" s="44"/>
      <c r="ZF11" s="44"/>
      <c r="ZG11" s="44"/>
      <c r="ZH11" s="44"/>
      <c r="ZI11" s="44"/>
      <c r="ZJ11" s="44"/>
      <c r="ZK11" s="44"/>
      <c r="ZL11" s="44"/>
      <c r="ZM11" s="44"/>
      <c r="ZN11" s="44"/>
      <c r="ZO11" s="44"/>
      <c r="ZP11" s="44"/>
      <c r="ZQ11" s="44"/>
      <c r="ZR11" s="44"/>
      <c r="ZS11" s="44"/>
      <c r="ZT11" s="44"/>
      <c r="ZU11" s="44"/>
      <c r="ZV11" s="44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4"/>
      <c r="AAH11" s="44"/>
      <c r="AAI11" s="44"/>
      <c r="AAJ11" s="44"/>
      <c r="AAK11" s="44"/>
      <c r="AAL11" s="44"/>
      <c r="AAM11" s="44"/>
      <c r="AAN11" s="44"/>
      <c r="AAO11" s="44"/>
      <c r="AAP11" s="44"/>
      <c r="AAQ11" s="44"/>
      <c r="AAR11" s="44"/>
      <c r="AAS11" s="44"/>
      <c r="AAT11" s="44"/>
      <c r="AAU11" s="44"/>
      <c r="AAV11" s="44"/>
      <c r="AAW11" s="44"/>
      <c r="AAX11" s="44"/>
      <c r="AAY11" s="44"/>
      <c r="AAZ11" s="44"/>
      <c r="ABA11" s="44"/>
      <c r="ABB11" s="44"/>
      <c r="ABC11" s="44"/>
      <c r="ABD11" s="44"/>
      <c r="ABE11" s="44"/>
      <c r="ABF11" s="44"/>
      <c r="ABG11" s="44"/>
      <c r="ABH11" s="44"/>
      <c r="ABI11" s="44"/>
      <c r="ABJ11" s="44"/>
      <c r="ABK11" s="44"/>
      <c r="ABL11" s="44"/>
      <c r="ABM11" s="44"/>
      <c r="ABN11" s="44"/>
      <c r="ABO11" s="44"/>
      <c r="ABP11" s="44"/>
      <c r="ABQ11" s="44"/>
      <c r="ABR11" s="44"/>
      <c r="ABS11" s="44"/>
      <c r="ABT11" s="44"/>
      <c r="ABU11" s="44"/>
      <c r="ABV11" s="44"/>
      <c r="ABW11" s="44"/>
      <c r="ABX11" s="44"/>
      <c r="ABY11" s="44"/>
      <c r="ABZ11" s="44"/>
      <c r="ACA11" s="44"/>
      <c r="ACB11" s="44"/>
      <c r="ACC11" s="44"/>
      <c r="ACD11" s="44"/>
      <c r="ACE11" s="44"/>
      <c r="ACF11" s="44"/>
      <c r="ACG11" s="44"/>
      <c r="ACH11" s="44"/>
      <c r="ACI11" s="44"/>
      <c r="ACJ11" s="44"/>
      <c r="ACK11" s="44"/>
      <c r="ACL11" s="44"/>
      <c r="ACM11" s="44"/>
      <c r="ACN11" s="44"/>
      <c r="ACO11" s="44"/>
      <c r="ACP11" s="44"/>
      <c r="ACQ11" s="44"/>
      <c r="ACR11" s="44"/>
      <c r="ACS11" s="44"/>
      <c r="ACT11" s="44"/>
      <c r="ACU11" s="44"/>
      <c r="ACV11" s="44"/>
      <c r="ACW11" s="44"/>
      <c r="ACX11" s="44"/>
      <c r="ACY11" s="44"/>
      <c r="ACZ11" s="44"/>
      <c r="ADA11" s="44"/>
      <c r="ADB11" s="44"/>
      <c r="ADC11" s="44"/>
      <c r="ADD11" s="44"/>
      <c r="ADE11" s="44"/>
      <c r="ADF11" s="44"/>
      <c r="ADG11" s="44"/>
      <c r="ADH11" s="44"/>
      <c r="ADI11" s="44"/>
      <c r="ADJ11" s="44"/>
      <c r="ADK11" s="44"/>
      <c r="ADL11" s="44"/>
      <c r="ADM11" s="44"/>
      <c r="ADN11" s="44"/>
      <c r="ADO11" s="44"/>
      <c r="ADP11" s="44"/>
      <c r="ADQ11" s="44"/>
      <c r="ADR11" s="44"/>
      <c r="ADS11" s="44"/>
      <c r="ADT11" s="44"/>
      <c r="ADU11" s="44"/>
      <c r="ADV11" s="44"/>
      <c r="ADW11" s="44"/>
      <c r="ADX11" s="44"/>
      <c r="ADY11" s="44"/>
      <c r="ADZ11" s="44"/>
      <c r="AEA11" s="44"/>
      <c r="AEB11" s="44"/>
      <c r="AEC11" s="44"/>
      <c r="AED11" s="44"/>
      <c r="AEE11" s="44"/>
      <c r="AEF11" s="44"/>
      <c r="AEG11" s="44"/>
      <c r="AEH11" s="44"/>
      <c r="AEI11" s="44"/>
      <c r="AEJ11" s="44"/>
      <c r="AEK11" s="44"/>
      <c r="AEL11" s="44"/>
      <c r="AEM11" s="44"/>
      <c r="AEN11" s="44"/>
      <c r="AEO11" s="44"/>
      <c r="AEP11" s="44"/>
      <c r="AEQ11" s="44"/>
      <c r="AER11" s="44"/>
      <c r="AES11" s="44"/>
      <c r="AET11" s="44"/>
      <c r="AEU11" s="44"/>
      <c r="AEV11" s="44"/>
      <c r="AEW11" s="44"/>
      <c r="AEX11" s="44"/>
      <c r="AEY11" s="44"/>
      <c r="AEZ11" s="44"/>
      <c r="AFA11" s="44"/>
      <c r="AFB11" s="44"/>
      <c r="AFC11" s="44"/>
      <c r="AFD11" s="44"/>
      <c r="AFE11" s="44"/>
      <c r="AFF11" s="44"/>
      <c r="AFG11" s="44"/>
      <c r="AFH11" s="44"/>
      <c r="AFI11" s="44"/>
      <c r="AFJ11" s="44"/>
      <c r="AFK11" s="44"/>
      <c r="AFL11" s="44"/>
      <c r="AFM11" s="44"/>
      <c r="AFN11" s="44"/>
      <c r="AFO11" s="44"/>
      <c r="AFP11" s="44"/>
      <c r="AFQ11" s="44"/>
      <c r="AFR11" s="44"/>
      <c r="AFS11" s="44"/>
      <c r="AFT11" s="44"/>
      <c r="AFU11" s="44"/>
      <c r="AFV11" s="44"/>
      <c r="AFW11" s="44"/>
      <c r="AFX11" s="44"/>
      <c r="AFY11" s="44"/>
      <c r="AFZ11" s="44"/>
      <c r="AGA11" s="44"/>
      <c r="AGB11" s="44"/>
      <c r="AGC11" s="44"/>
      <c r="AGD11" s="44"/>
      <c r="AGE11" s="44"/>
      <c r="AGF11" s="44"/>
      <c r="AGG11" s="44"/>
      <c r="AGH11" s="44"/>
      <c r="AGI11" s="44"/>
      <c r="AGJ11" s="44"/>
      <c r="AGK11" s="44"/>
      <c r="AGL11" s="44"/>
      <c r="AGM11" s="44"/>
      <c r="AGN11" s="44"/>
      <c r="AGO11" s="44"/>
      <c r="AGP11" s="44"/>
      <c r="AGQ11" s="44"/>
      <c r="AGR11" s="44"/>
      <c r="AGS11" s="44"/>
      <c r="AGT11" s="44"/>
      <c r="AGU11" s="44"/>
      <c r="AGV11" s="44"/>
      <c r="AGW11" s="44"/>
      <c r="AGX11" s="44"/>
      <c r="AGY11" s="44"/>
      <c r="AGZ11" s="44"/>
      <c r="AHA11" s="44"/>
      <c r="AHB11" s="44"/>
      <c r="AHC11" s="44"/>
      <c r="AHD11" s="44"/>
      <c r="AHE11" s="44"/>
      <c r="AHF11" s="44"/>
      <c r="AHG11" s="44"/>
      <c r="AHH11" s="44"/>
      <c r="AHI11" s="44"/>
      <c r="AHJ11" s="44"/>
      <c r="AHK11" s="44"/>
      <c r="AHL11" s="44"/>
      <c r="AHM11" s="44"/>
      <c r="AHN11" s="44"/>
      <c r="AHO11" s="44"/>
      <c r="AHP11" s="44"/>
      <c r="AHQ11" s="44"/>
      <c r="AHR11" s="44"/>
      <c r="AHS11" s="44"/>
      <c r="AHT11" s="44"/>
      <c r="AHU11" s="44"/>
      <c r="AHV11" s="44"/>
      <c r="AHW11" s="44"/>
      <c r="AHX11" s="44"/>
      <c r="AHY11" s="44"/>
      <c r="AHZ11" s="44"/>
      <c r="AIA11" s="44"/>
      <c r="AIB11" s="44"/>
      <c r="AIC11" s="44"/>
      <c r="AID11" s="44"/>
      <c r="AIE11" s="44"/>
      <c r="AIF11" s="44"/>
      <c r="AIG11" s="44"/>
      <c r="AIH11" s="44"/>
      <c r="AII11" s="44"/>
      <c r="AIJ11" s="44"/>
      <c r="AIK11" s="44"/>
      <c r="AIL11" s="44"/>
      <c r="AIM11" s="44"/>
      <c r="AIN11" s="44"/>
      <c r="AIO11" s="44"/>
      <c r="AIP11" s="44"/>
      <c r="AIQ11" s="44"/>
      <c r="AIR11" s="44"/>
      <c r="AIS11" s="44"/>
      <c r="AIT11" s="44"/>
      <c r="AIU11" s="44"/>
      <c r="AIV11" s="44"/>
      <c r="AIW11" s="44"/>
      <c r="AIX11" s="44"/>
      <c r="AIY11" s="44"/>
      <c r="AIZ11" s="44"/>
      <c r="AJA11" s="44"/>
      <c r="AJB11" s="44"/>
      <c r="AJC11" s="44"/>
      <c r="AJD11" s="44"/>
      <c r="AJE11" s="44"/>
      <c r="AJF11" s="44"/>
      <c r="AJG11" s="44"/>
      <c r="AJH11" s="44"/>
      <c r="AJI11" s="44"/>
      <c r="AJJ11" s="44"/>
      <c r="AJK11" s="44"/>
      <c r="AJL11" s="44"/>
      <c r="AJM11" s="44"/>
      <c r="AJN11" s="44"/>
      <c r="AJO11" s="44"/>
      <c r="AJP11" s="44"/>
      <c r="AJQ11" s="44"/>
      <c r="AJR11" s="44"/>
      <c r="AJS11" s="44"/>
      <c r="AJT11" s="44"/>
      <c r="AJU11" s="44"/>
      <c r="AJV11" s="44"/>
      <c r="AJW11" s="44"/>
      <c r="AJX11" s="44"/>
      <c r="AJY11" s="44"/>
      <c r="AJZ11" s="44"/>
    </row>
    <row r="12" spans="1:962" s="50" customFormat="1" ht="14.5" x14ac:dyDescent="0.35">
      <c r="A12" s="63">
        <v>10</v>
      </c>
      <c r="B12" s="67" t="str">
        <f>IF(E12&gt;1,"EN USO",IF(F12&gt;1,"EN USO",IF(G12&gt;1,"EN USO","FUERA DE SERVICIO")))</f>
        <v>EN USO</v>
      </c>
      <c r="C12" s="71" t="s">
        <v>119</v>
      </c>
      <c r="D12" s="71" t="s">
        <v>120</v>
      </c>
      <c r="E12" s="71" t="s">
        <v>84</v>
      </c>
      <c r="F12" s="71"/>
      <c r="G12" s="71"/>
      <c r="H12" s="27" t="s">
        <v>89</v>
      </c>
      <c r="I12" s="25" t="s">
        <v>117</v>
      </c>
      <c r="J12" s="25" t="s">
        <v>102</v>
      </c>
      <c r="K12" s="111" t="s">
        <v>86</v>
      </c>
      <c r="L12" s="118">
        <v>43616</v>
      </c>
      <c r="M12" s="113">
        <v>2019</v>
      </c>
      <c r="N12" s="74" t="s">
        <v>121</v>
      </c>
      <c r="O12" s="74">
        <v>36596417</v>
      </c>
      <c r="P12" s="26" t="s">
        <v>164</v>
      </c>
      <c r="Q12" s="75">
        <v>45887</v>
      </c>
      <c r="R12" s="76">
        <f t="shared" ca="1" si="0"/>
        <v>-80</v>
      </c>
      <c r="S12" s="25" t="str">
        <f t="shared" ca="1" si="1"/>
        <v>Vencido</v>
      </c>
      <c r="T12" s="77">
        <v>45751</v>
      </c>
      <c r="U12" s="76">
        <f t="shared" ca="1" si="2"/>
        <v>-216</v>
      </c>
      <c r="V12" s="25" t="str">
        <f t="shared" ca="1" si="3"/>
        <v>Vencido</v>
      </c>
      <c r="W12" s="80">
        <v>45790</v>
      </c>
      <c r="X12" s="76">
        <f t="shared" ca="1" si="4"/>
        <v>-177</v>
      </c>
      <c r="Y12" s="25" t="str">
        <f t="shared" ca="1" si="5"/>
        <v>Vencido</v>
      </c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  <c r="ACD12" s="44"/>
      <c r="ACE12" s="44"/>
      <c r="ACF12" s="44"/>
      <c r="ACG12" s="44"/>
      <c r="ACH12" s="44"/>
      <c r="ACI12" s="44"/>
      <c r="ACJ12" s="44"/>
      <c r="ACK12" s="44"/>
      <c r="ACL12" s="44"/>
      <c r="ACM12" s="44"/>
      <c r="ACN12" s="44"/>
      <c r="ACO12" s="44"/>
      <c r="ACP12" s="44"/>
      <c r="ACQ12" s="44"/>
      <c r="ACR12" s="44"/>
      <c r="ACS12" s="44"/>
      <c r="ACT12" s="44"/>
      <c r="ACU12" s="44"/>
      <c r="ACV12" s="44"/>
      <c r="ACW12" s="44"/>
      <c r="ACX12" s="44"/>
      <c r="ACY12" s="44"/>
      <c r="ACZ12" s="44"/>
      <c r="ADA12" s="44"/>
      <c r="ADB12" s="44"/>
      <c r="ADC12" s="44"/>
      <c r="ADD12" s="44"/>
      <c r="ADE12" s="44"/>
      <c r="ADF12" s="44"/>
      <c r="ADG12" s="44"/>
      <c r="ADH12" s="44"/>
      <c r="ADI12" s="44"/>
      <c r="ADJ12" s="44"/>
      <c r="ADK12" s="44"/>
      <c r="ADL12" s="44"/>
      <c r="ADM12" s="44"/>
      <c r="ADN12" s="44"/>
      <c r="ADO12" s="44"/>
      <c r="ADP12" s="44"/>
      <c r="ADQ12" s="44"/>
      <c r="ADR12" s="44"/>
      <c r="ADS12" s="44"/>
      <c r="ADT12" s="44"/>
      <c r="ADU12" s="44"/>
      <c r="ADV12" s="44"/>
      <c r="ADW12" s="44"/>
      <c r="ADX12" s="44"/>
      <c r="ADY12" s="44"/>
      <c r="ADZ12" s="44"/>
      <c r="AEA12" s="44"/>
      <c r="AEB12" s="44"/>
      <c r="AEC12" s="44"/>
      <c r="AED12" s="44"/>
      <c r="AEE12" s="44"/>
      <c r="AEF12" s="44"/>
      <c r="AEG12" s="44"/>
      <c r="AEH12" s="44"/>
      <c r="AEI12" s="44"/>
      <c r="AEJ12" s="44"/>
      <c r="AEK12" s="44"/>
      <c r="AEL12" s="44"/>
      <c r="AEM12" s="44"/>
      <c r="AEN12" s="44"/>
      <c r="AEO12" s="44"/>
      <c r="AEP12" s="44"/>
      <c r="AEQ12" s="44"/>
      <c r="AER12" s="44"/>
      <c r="AES12" s="44"/>
      <c r="AET12" s="44"/>
      <c r="AEU12" s="44"/>
      <c r="AEV12" s="44"/>
      <c r="AEW12" s="44"/>
      <c r="AEX12" s="44"/>
      <c r="AEY12" s="44"/>
      <c r="AEZ12" s="44"/>
      <c r="AFA12" s="44"/>
      <c r="AFB12" s="44"/>
      <c r="AFC12" s="44"/>
      <c r="AFD12" s="44"/>
      <c r="AFE12" s="44"/>
      <c r="AFF12" s="44"/>
      <c r="AFG12" s="44"/>
      <c r="AFH12" s="44"/>
      <c r="AFI12" s="44"/>
      <c r="AFJ12" s="44"/>
      <c r="AFK12" s="44"/>
      <c r="AFL12" s="44"/>
      <c r="AFM12" s="44"/>
      <c r="AFN12" s="44"/>
      <c r="AFO12" s="44"/>
      <c r="AFP12" s="44"/>
      <c r="AFQ12" s="44"/>
      <c r="AFR12" s="44"/>
      <c r="AFS12" s="44"/>
      <c r="AFT12" s="44"/>
      <c r="AFU12" s="44"/>
      <c r="AFV12" s="44"/>
      <c r="AFW12" s="44"/>
      <c r="AFX12" s="44"/>
      <c r="AFY12" s="44"/>
      <c r="AFZ12" s="44"/>
      <c r="AGA12" s="44"/>
      <c r="AGB12" s="44"/>
      <c r="AGC12" s="44"/>
      <c r="AGD12" s="44"/>
      <c r="AGE12" s="44"/>
      <c r="AGF12" s="44"/>
      <c r="AGG12" s="44"/>
      <c r="AGH12" s="44"/>
      <c r="AGI12" s="44"/>
      <c r="AGJ12" s="44"/>
      <c r="AGK12" s="44"/>
      <c r="AGL12" s="44"/>
      <c r="AGM12" s="44"/>
      <c r="AGN12" s="44"/>
      <c r="AGO12" s="44"/>
      <c r="AGP12" s="44"/>
      <c r="AGQ12" s="44"/>
      <c r="AGR12" s="44"/>
      <c r="AGS12" s="44"/>
      <c r="AGT12" s="44"/>
      <c r="AGU12" s="44"/>
      <c r="AGV12" s="44"/>
      <c r="AGW12" s="44"/>
      <c r="AGX12" s="44"/>
      <c r="AGY12" s="44"/>
      <c r="AGZ12" s="44"/>
      <c r="AHA12" s="44"/>
      <c r="AHB12" s="44"/>
      <c r="AHC12" s="44"/>
      <c r="AHD12" s="44"/>
      <c r="AHE12" s="44"/>
      <c r="AHF12" s="44"/>
      <c r="AHG12" s="44"/>
      <c r="AHH12" s="44"/>
      <c r="AHI12" s="44"/>
      <c r="AHJ12" s="44"/>
      <c r="AHK12" s="44"/>
      <c r="AHL12" s="44"/>
      <c r="AHM12" s="44"/>
      <c r="AHN12" s="44"/>
      <c r="AHO12" s="44"/>
      <c r="AHP12" s="44"/>
      <c r="AHQ12" s="44"/>
      <c r="AHR12" s="44"/>
      <c r="AHS12" s="44"/>
      <c r="AHT12" s="44"/>
      <c r="AHU12" s="44"/>
      <c r="AHV12" s="44"/>
      <c r="AHW12" s="44"/>
      <c r="AHX12" s="44"/>
      <c r="AHY12" s="44"/>
      <c r="AHZ12" s="44"/>
      <c r="AIA12" s="44"/>
      <c r="AIB12" s="44"/>
      <c r="AIC12" s="44"/>
      <c r="AID12" s="44"/>
      <c r="AIE12" s="44"/>
      <c r="AIF12" s="44"/>
      <c r="AIG12" s="44"/>
      <c r="AIH12" s="44"/>
      <c r="AII12" s="44"/>
      <c r="AIJ12" s="44"/>
      <c r="AIK12" s="44"/>
      <c r="AIL12" s="44"/>
      <c r="AIM12" s="44"/>
      <c r="AIN12" s="44"/>
      <c r="AIO12" s="44"/>
      <c r="AIP12" s="44"/>
      <c r="AIQ12" s="44"/>
      <c r="AIR12" s="44"/>
      <c r="AIS12" s="44"/>
      <c r="AIT12" s="44"/>
      <c r="AIU12" s="44"/>
      <c r="AIV12" s="44"/>
      <c r="AIW12" s="44"/>
      <c r="AIX12" s="44"/>
      <c r="AIY12" s="44"/>
      <c r="AIZ12" s="44"/>
      <c r="AJA12" s="44"/>
      <c r="AJB12" s="44"/>
      <c r="AJC12" s="44"/>
      <c r="AJD12" s="44"/>
      <c r="AJE12" s="44"/>
      <c r="AJF12" s="44"/>
      <c r="AJG12" s="44"/>
      <c r="AJH12" s="44"/>
      <c r="AJI12" s="44"/>
      <c r="AJJ12" s="44"/>
      <c r="AJK12" s="44"/>
      <c r="AJL12" s="44"/>
      <c r="AJM12" s="44"/>
      <c r="AJN12" s="44"/>
      <c r="AJO12" s="44"/>
      <c r="AJP12" s="44"/>
      <c r="AJQ12" s="44"/>
      <c r="AJR12" s="44"/>
      <c r="AJS12" s="44"/>
      <c r="AJT12" s="44"/>
      <c r="AJU12" s="44"/>
      <c r="AJV12" s="44"/>
      <c r="AJW12" s="44"/>
      <c r="AJX12" s="44"/>
      <c r="AJY12" s="44"/>
      <c r="AJZ12" s="44"/>
    </row>
    <row r="13" spans="1:962" ht="14.5" x14ac:dyDescent="0.35">
      <c r="A13" s="63">
        <v>11</v>
      </c>
      <c r="B13" s="67" t="str">
        <f>IF(E13&gt;1,"EN USO",IF(F13&gt;1,"EN USO",IF(G13&gt;1,"EN USO","FUERA DE SERVICIO")))</f>
        <v>FUERA DE SERVICIO</v>
      </c>
      <c r="C13" s="71" t="s">
        <v>38</v>
      </c>
      <c r="D13" s="71" t="s">
        <v>122</v>
      </c>
      <c r="E13" s="71"/>
      <c r="F13" s="71"/>
      <c r="G13" s="71"/>
      <c r="H13" s="25" t="s">
        <v>89</v>
      </c>
      <c r="I13" s="25" t="s">
        <v>123</v>
      </c>
      <c r="J13" s="25" t="s">
        <v>102</v>
      </c>
      <c r="K13" s="111" t="s">
        <v>86</v>
      </c>
      <c r="L13" s="73">
        <v>43760</v>
      </c>
      <c r="M13" s="113">
        <v>2020</v>
      </c>
      <c r="N13" s="74" t="s">
        <v>124</v>
      </c>
      <c r="O13" s="74">
        <v>36657906</v>
      </c>
      <c r="P13" s="26" t="s">
        <v>164</v>
      </c>
      <c r="Q13" s="75">
        <v>45887</v>
      </c>
      <c r="R13" s="76">
        <f t="shared" ca="1" si="0"/>
        <v>-80</v>
      </c>
      <c r="S13" s="25" t="str">
        <f t="shared" ca="1" si="1"/>
        <v>Vencido</v>
      </c>
      <c r="T13" s="77">
        <v>45647</v>
      </c>
      <c r="U13" s="76">
        <f t="shared" ca="1" si="2"/>
        <v>-320</v>
      </c>
      <c r="V13" s="25" t="str">
        <f t="shared" ca="1" si="3"/>
        <v>Vencido</v>
      </c>
      <c r="W13" s="80">
        <v>45790</v>
      </c>
      <c r="X13" s="76">
        <f t="shared" ca="1" si="4"/>
        <v>-177</v>
      </c>
      <c r="Y13" s="25" t="str">
        <f t="shared" ca="1" si="5"/>
        <v>Vencido</v>
      </c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</row>
    <row r="14" spans="1:962" ht="14.5" x14ac:dyDescent="0.35">
      <c r="A14" s="63">
        <v>12</v>
      </c>
      <c r="B14" s="67" t="str">
        <f>IF(E14&gt;1,"EN USO",IF(F14&gt;1,"EN USO",IF(G14&gt;1,"EN USO","FUERA DE SERVICIO")))</f>
        <v>EN USO</v>
      </c>
      <c r="C14" s="71" t="s">
        <v>34</v>
      </c>
      <c r="D14" s="71" t="s">
        <v>134</v>
      </c>
      <c r="E14" s="71"/>
      <c r="F14" s="71" t="s">
        <v>84</v>
      </c>
      <c r="G14" s="71"/>
      <c r="H14" s="25" t="s">
        <v>89</v>
      </c>
      <c r="I14" s="25" t="s">
        <v>135</v>
      </c>
      <c r="J14" s="25" t="s">
        <v>102</v>
      </c>
      <c r="K14" s="111" t="s">
        <v>86</v>
      </c>
      <c r="L14" s="118">
        <v>43843</v>
      </c>
      <c r="M14" s="113">
        <v>2020</v>
      </c>
      <c r="N14" s="74" t="s">
        <v>136</v>
      </c>
      <c r="O14" s="74" t="s">
        <v>137</v>
      </c>
      <c r="P14" s="26" t="s">
        <v>164</v>
      </c>
      <c r="Q14" s="75">
        <v>45887</v>
      </c>
      <c r="R14" s="76">
        <f t="shared" ca="1" si="0"/>
        <v>-80</v>
      </c>
      <c r="S14" s="25" t="str">
        <f t="shared" ca="1" si="1"/>
        <v>Vencido</v>
      </c>
      <c r="T14" s="77">
        <v>45757</v>
      </c>
      <c r="U14" s="76">
        <f t="shared" ca="1" si="2"/>
        <v>-210</v>
      </c>
      <c r="V14" s="25" t="str">
        <f t="shared" ca="1" si="3"/>
        <v>Vencido</v>
      </c>
      <c r="W14" s="80">
        <v>45790</v>
      </c>
      <c r="X14" s="76">
        <f t="shared" ca="1" si="4"/>
        <v>-177</v>
      </c>
      <c r="Y14" s="25" t="str">
        <f t="shared" ca="1" si="5"/>
        <v>Vencido</v>
      </c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</row>
    <row r="15" spans="1:962" ht="14.5" x14ac:dyDescent="0.35">
      <c r="A15" s="63">
        <v>13</v>
      </c>
      <c r="B15" s="67" t="str">
        <f>IF(E15&gt;1,"EN USO",IF(F15&gt;1,"EN USO",IF(G15&gt;1,"EN USO","FUERA DE SERVICIO")))</f>
        <v>EN USO</v>
      </c>
      <c r="C15" s="71" t="s">
        <v>35</v>
      </c>
      <c r="D15" s="71" t="s">
        <v>152</v>
      </c>
      <c r="E15" s="71"/>
      <c r="F15" s="71"/>
      <c r="G15" s="71" t="s">
        <v>177</v>
      </c>
      <c r="H15" s="25" t="s">
        <v>85</v>
      </c>
      <c r="I15" s="25" t="s">
        <v>153</v>
      </c>
      <c r="J15" s="25" t="s">
        <v>102</v>
      </c>
      <c r="K15" s="111" t="s">
        <v>86</v>
      </c>
      <c r="L15" s="118">
        <v>44209</v>
      </c>
      <c r="M15" s="113">
        <v>2005</v>
      </c>
      <c r="N15" s="74" t="s">
        <v>154</v>
      </c>
      <c r="O15" s="74">
        <v>36016913</v>
      </c>
      <c r="P15" s="26" t="s">
        <v>164</v>
      </c>
      <c r="Q15" s="75">
        <v>45887</v>
      </c>
      <c r="R15" s="76">
        <f t="shared" ca="1" si="0"/>
        <v>-80</v>
      </c>
      <c r="S15" s="25" t="str">
        <f t="shared" ca="1" si="1"/>
        <v>Vencido</v>
      </c>
      <c r="T15" s="77">
        <v>45724</v>
      </c>
      <c r="U15" s="76">
        <f t="shared" ca="1" si="2"/>
        <v>-243</v>
      </c>
      <c r="V15" s="25" t="str">
        <f t="shared" ca="1" si="3"/>
        <v>Vencido</v>
      </c>
      <c r="W15" s="80">
        <v>45790</v>
      </c>
      <c r="X15" s="76">
        <f t="shared" ca="1" si="4"/>
        <v>-177</v>
      </c>
      <c r="Y15" s="25" t="str">
        <f t="shared" ca="1" si="5"/>
        <v>Vencido</v>
      </c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1:962" ht="14.5" x14ac:dyDescent="0.35">
      <c r="A16" s="63">
        <v>14</v>
      </c>
      <c r="B16" s="93" t="s">
        <v>162</v>
      </c>
      <c r="C16" s="102" t="s">
        <v>142</v>
      </c>
      <c r="D16" s="102" t="s">
        <v>160</v>
      </c>
      <c r="E16" s="93"/>
      <c r="F16" s="102"/>
      <c r="G16" s="102"/>
      <c r="H16" s="103" t="s">
        <v>89</v>
      </c>
      <c r="I16" s="103" t="s">
        <v>117</v>
      </c>
      <c r="J16" s="103" t="s">
        <v>102</v>
      </c>
      <c r="K16" s="110" t="s">
        <v>86</v>
      </c>
      <c r="L16" s="117">
        <v>44252</v>
      </c>
      <c r="M16" s="112">
        <v>2020</v>
      </c>
      <c r="N16" s="104" t="s">
        <v>143</v>
      </c>
      <c r="O16" s="104">
        <v>36662662</v>
      </c>
      <c r="P16" s="96" t="s">
        <v>164</v>
      </c>
      <c r="Q16" s="99">
        <v>45887</v>
      </c>
      <c r="R16" s="76">
        <f t="shared" ca="1" si="0"/>
        <v>-80</v>
      </c>
      <c r="S16" s="25" t="str">
        <f t="shared" ca="1" si="1"/>
        <v>Vencido</v>
      </c>
      <c r="T16" s="100" t="s">
        <v>178</v>
      </c>
      <c r="U16" s="76" t="e">
        <f t="shared" ca="1" si="2"/>
        <v>#VALUE!</v>
      </c>
      <c r="V16" s="25" t="e">
        <f t="shared" ca="1" si="3"/>
        <v>#VALUE!</v>
      </c>
      <c r="W16" s="104" t="s">
        <v>178</v>
      </c>
      <c r="X16" s="76" t="e">
        <f t="shared" ca="1" si="4"/>
        <v>#VALUE!</v>
      </c>
      <c r="Y16" s="25" t="e">
        <f t="shared" ca="1" si="5"/>
        <v>#VALUE!</v>
      </c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</row>
    <row r="17" spans="1:962" s="50" customFormat="1" ht="15" thickBot="1" x14ac:dyDescent="0.4">
      <c r="A17" s="63">
        <v>15</v>
      </c>
      <c r="B17" s="85" t="s">
        <v>165</v>
      </c>
      <c r="C17" s="85"/>
      <c r="D17" s="91"/>
      <c r="E17" s="91"/>
      <c r="F17" s="91"/>
      <c r="G17" s="91"/>
      <c r="H17" s="91"/>
      <c r="I17" s="91"/>
      <c r="J17" s="91"/>
      <c r="K17" s="91"/>
      <c r="L17" s="115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  <c r="IW17" s="44"/>
      <c r="IX17" s="44"/>
      <c r="IY17" s="44"/>
      <c r="IZ17" s="44"/>
      <c r="JA17" s="44"/>
      <c r="JB17" s="44"/>
      <c r="JC17" s="44"/>
      <c r="JD17" s="44"/>
      <c r="JE17" s="44"/>
      <c r="JF17" s="44"/>
      <c r="JG17" s="44"/>
      <c r="JH17" s="44"/>
      <c r="JI17" s="44"/>
      <c r="JJ17" s="44"/>
      <c r="JK17" s="44"/>
      <c r="JL17" s="44"/>
      <c r="JM17" s="44"/>
      <c r="JN17" s="44"/>
      <c r="JO17" s="44"/>
      <c r="JP17" s="44"/>
      <c r="JQ17" s="44"/>
      <c r="JR17" s="44"/>
      <c r="JS17" s="44"/>
      <c r="JT17" s="44"/>
      <c r="JU17" s="44"/>
      <c r="JV17" s="44"/>
      <c r="JW17" s="44"/>
      <c r="JX17" s="44"/>
      <c r="JY17" s="44"/>
      <c r="JZ17" s="44"/>
      <c r="KA17" s="44"/>
      <c r="KB17" s="44"/>
      <c r="KC17" s="44"/>
      <c r="KD17" s="44"/>
      <c r="KE17" s="44"/>
      <c r="KF17" s="44"/>
      <c r="KG17" s="44"/>
      <c r="KH17" s="44"/>
      <c r="KI17" s="44"/>
      <c r="KJ17" s="44"/>
      <c r="KK17" s="44"/>
      <c r="KL17" s="44"/>
      <c r="KM17" s="44"/>
      <c r="KN17" s="44"/>
      <c r="KO17" s="44"/>
      <c r="KP17" s="44"/>
      <c r="KQ17" s="44"/>
      <c r="KR17" s="44"/>
      <c r="KS17" s="44"/>
      <c r="KT17" s="44"/>
      <c r="KU17" s="44"/>
      <c r="KV17" s="44"/>
      <c r="KW17" s="44"/>
      <c r="KX17" s="44"/>
      <c r="KY17" s="44"/>
      <c r="KZ17" s="44"/>
      <c r="LA17" s="44"/>
      <c r="LB17" s="44"/>
      <c r="LC17" s="44"/>
      <c r="LD17" s="44"/>
      <c r="LE17" s="44"/>
      <c r="LF17" s="44"/>
      <c r="LG17" s="44"/>
      <c r="LH17" s="44"/>
      <c r="LI17" s="44"/>
      <c r="LJ17" s="44"/>
      <c r="LK17" s="44"/>
      <c r="LL17" s="44"/>
      <c r="LM17" s="44"/>
      <c r="LN17" s="44"/>
      <c r="LO17" s="44"/>
      <c r="LP17" s="44"/>
      <c r="LQ17" s="44"/>
      <c r="LR17" s="44"/>
      <c r="LS17" s="44"/>
      <c r="LT17" s="44"/>
      <c r="LU17" s="44"/>
      <c r="LV17" s="44"/>
      <c r="LW17" s="44"/>
      <c r="LX17" s="44"/>
      <c r="LY17" s="44"/>
      <c r="LZ17" s="44"/>
      <c r="MA17" s="44"/>
      <c r="MB17" s="44"/>
      <c r="MC17" s="44"/>
      <c r="MD17" s="44"/>
      <c r="ME17" s="44"/>
      <c r="MF17" s="44"/>
      <c r="MG17" s="44"/>
      <c r="MH17" s="44"/>
      <c r="MI17" s="44"/>
      <c r="MJ17" s="44"/>
      <c r="MK17" s="44"/>
      <c r="ML17" s="44"/>
      <c r="MM17" s="44"/>
      <c r="MN17" s="44"/>
      <c r="MO17" s="44"/>
      <c r="MP17" s="44"/>
      <c r="MQ17" s="44"/>
      <c r="MR17" s="44"/>
      <c r="MS17" s="44"/>
      <c r="MT17" s="44"/>
      <c r="MU17" s="44"/>
      <c r="MV17" s="44"/>
      <c r="MW17" s="44"/>
      <c r="MX17" s="44"/>
      <c r="MY17" s="44"/>
      <c r="MZ17" s="44"/>
      <c r="NA17" s="44"/>
      <c r="NB17" s="44"/>
      <c r="NC17" s="44"/>
      <c r="ND17" s="44"/>
      <c r="NE17" s="44"/>
      <c r="NF17" s="44"/>
      <c r="NG17" s="44"/>
      <c r="NH17" s="44"/>
      <c r="NI17" s="44"/>
      <c r="NJ17" s="44"/>
      <c r="NK17" s="44"/>
      <c r="NL17" s="44"/>
      <c r="NM17" s="44"/>
      <c r="NN17" s="44"/>
      <c r="NO17" s="44"/>
      <c r="NP17" s="44"/>
      <c r="NQ17" s="44"/>
      <c r="NR17" s="44"/>
      <c r="NS17" s="44"/>
      <c r="NT17" s="44"/>
      <c r="NU17" s="44"/>
      <c r="NV17" s="44"/>
      <c r="NW17" s="44"/>
      <c r="NX17" s="44"/>
      <c r="NY17" s="44"/>
      <c r="NZ17" s="44"/>
      <c r="OA17" s="44"/>
      <c r="OB17" s="44"/>
      <c r="OC17" s="44"/>
      <c r="OD17" s="44"/>
      <c r="OE17" s="44"/>
      <c r="OF17" s="44"/>
      <c r="OG17" s="44"/>
      <c r="OH17" s="44"/>
      <c r="OI17" s="44"/>
      <c r="OJ17" s="44"/>
      <c r="OK17" s="44"/>
      <c r="OL17" s="44"/>
      <c r="OM17" s="44"/>
      <c r="ON17" s="44"/>
      <c r="OO17" s="44"/>
      <c r="OP17" s="44"/>
      <c r="OQ17" s="44"/>
      <c r="OR17" s="44"/>
      <c r="OS17" s="44"/>
      <c r="OT17" s="44"/>
      <c r="OU17" s="44"/>
      <c r="OV17" s="44"/>
      <c r="OW17" s="44"/>
      <c r="OX17" s="44"/>
      <c r="OY17" s="44"/>
      <c r="OZ17" s="44"/>
      <c r="PA17" s="44"/>
      <c r="PB17" s="44"/>
      <c r="PC17" s="44"/>
      <c r="PD17" s="44"/>
      <c r="PE17" s="44"/>
      <c r="PF17" s="44"/>
      <c r="PG17" s="44"/>
      <c r="PH17" s="44"/>
      <c r="PI17" s="44"/>
      <c r="PJ17" s="44"/>
      <c r="PK17" s="44"/>
      <c r="PL17" s="44"/>
      <c r="PM17" s="44"/>
      <c r="PN17" s="44"/>
      <c r="PO17" s="44"/>
      <c r="PP17" s="44"/>
      <c r="PQ17" s="44"/>
      <c r="PR17" s="44"/>
      <c r="PS17" s="44"/>
      <c r="PT17" s="44"/>
      <c r="PU17" s="44"/>
      <c r="PV17" s="44"/>
      <c r="PW17" s="44"/>
      <c r="PX17" s="44"/>
      <c r="PY17" s="44"/>
      <c r="PZ17" s="44"/>
      <c r="QA17" s="44"/>
      <c r="QB17" s="44"/>
      <c r="QC17" s="44"/>
      <c r="QD17" s="44"/>
      <c r="QE17" s="44"/>
      <c r="QF17" s="44"/>
      <c r="QG17" s="44"/>
      <c r="QH17" s="44"/>
      <c r="QI17" s="44"/>
      <c r="QJ17" s="44"/>
      <c r="QK17" s="44"/>
      <c r="QL17" s="44"/>
      <c r="QM17" s="44"/>
      <c r="QN17" s="44"/>
      <c r="QO17" s="44"/>
      <c r="QP17" s="44"/>
      <c r="QQ17" s="44"/>
      <c r="QR17" s="44"/>
      <c r="QS17" s="44"/>
      <c r="QT17" s="44"/>
      <c r="QU17" s="44"/>
      <c r="QV17" s="44"/>
      <c r="QW17" s="44"/>
      <c r="QX17" s="44"/>
      <c r="QY17" s="44"/>
      <c r="QZ17" s="44"/>
      <c r="RA17" s="44"/>
      <c r="RB17" s="44"/>
      <c r="RC17" s="44"/>
      <c r="RD17" s="44"/>
      <c r="RE17" s="44"/>
      <c r="RF17" s="44"/>
      <c r="RG17" s="44"/>
      <c r="RH17" s="44"/>
      <c r="RI17" s="44"/>
      <c r="RJ17" s="44"/>
      <c r="RK17" s="44"/>
      <c r="RL17" s="44"/>
      <c r="RM17" s="44"/>
      <c r="RN17" s="44"/>
      <c r="RO17" s="44"/>
      <c r="RP17" s="44"/>
      <c r="RQ17" s="44"/>
      <c r="RR17" s="44"/>
      <c r="RS17" s="44"/>
      <c r="RT17" s="44"/>
      <c r="RU17" s="44"/>
      <c r="RV17" s="44"/>
      <c r="RW17" s="44"/>
      <c r="RX17" s="44"/>
      <c r="RY17" s="44"/>
      <c r="RZ17" s="44"/>
      <c r="SA17" s="44"/>
      <c r="SB17" s="44"/>
      <c r="SC17" s="44"/>
      <c r="SD17" s="44"/>
      <c r="SE17" s="44"/>
      <c r="SF17" s="44"/>
      <c r="SG17" s="44"/>
      <c r="SH17" s="44"/>
      <c r="SI17" s="44"/>
      <c r="SJ17" s="44"/>
      <c r="SK17" s="44"/>
      <c r="SL17" s="44"/>
      <c r="SM17" s="44"/>
      <c r="SN17" s="44"/>
      <c r="SO17" s="44"/>
      <c r="SP17" s="44"/>
      <c r="SQ17" s="44"/>
      <c r="SR17" s="44"/>
      <c r="SS17" s="44"/>
      <c r="ST17" s="44"/>
      <c r="SU17" s="44"/>
      <c r="SV17" s="44"/>
      <c r="SW17" s="44"/>
      <c r="SX17" s="44"/>
      <c r="SY17" s="44"/>
      <c r="SZ17" s="44"/>
      <c r="TA17" s="44"/>
      <c r="TB17" s="44"/>
      <c r="TC17" s="44"/>
      <c r="TD17" s="44"/>
      <c r="TE17" s="44"/>
      <c r="TF17" s="44"/>
      <c r="TG17" s="44"/>
      <c r="TH17" s="44"/>
      <c r="TI17" s="44"/>
      <c r="TJ17" s="44"/>
      <c r="TK17" s="44"/>
      <c r="TL17" s="44"/>
      <c r="TM17" s="44"/>
      <c r="TN17" s="44"/>
      <c r="TO17" s="44"/>
      <c r="TP17" s="44"/>
      <c r="TQ17" s="44"/>
      <c r="TR17" s="44"/>
      <c r="TS17" s="44"/>
      <c r="TT17" s="44"/>
      <c r="TU17" s="44"/>
      <c r="TV17" s="44"/>
      <c r="TW17" s="44"/>
      <c r="TX17" s="44"/>
      <c r="TY17" s="44"/>
      <c r="TZ17" s="44"/>
      <c r="UA17" s="44"/>
      <c r="UB17" s="44"/>
      <c r="UC17" s="44"/>
      <c r="UD17" s="44"/>
      <c r="UE17" s="44"/>
      <c r="UF17" s="44"/>
      <c r="UG17" s="44"/>
      <c r="UH17" s="44"/>
      <c r="UI17" s="44"/>
      <c r="UJ17" s="44"/>
      <c r="UK17" s="44"/>
      <c r="UL17" s="44"/>
      <c r="UM17" s="44"/>
      <c r="UN17" s="44"/>
      <c r="UO17" s="44"/>
      <c r="UP17" s="44"/>
      <c r="UQ17" s="44"/>
      <c r="UR17" s="44"/>
      <c r="US17" s="44"/>
      <c r="UT17" s="44"/>
      <c r="UU17" s="44"/>
      <c r="UV17" s="44"/>
      <c r="UW17" s="44"/>
      <c r="UX17" s="44"/>
      <c r="UY17" s="44"/>
      <c r="UZ17" s="44"/>
      <c r="VA17" s="44"/>
      <c r="VB17" s="44"/>
      <c r="VC17" s="44"/>
      <c r="VD17" s="44"/>
      <c r="VE17" s="44"/>
      <c r="VF17" s="44"/>
      <c r="VG17" s="44"/>
      <c r="VH17" s="44"/>
      <c r="VI17" s="44"/>
      <c r="VJ17" s="44"/>
      <c r="VK17" s="44"/>
      <c r="VL17" s="44"/>
      <c r="VM17" s="44"/>
      <c r="VN17" s="44"/>
      <c r="VO17" s="44"/>
      <c r="VP17" s="44"/>
      <c r="VQ17" s="44"/>
      <c r="VR17" s="44"/>
      <c r="VS17" s="44"/>
      <c r="VT17" s="44"/>
      <c r="VU17" s="44"/>
      <c r="VV17" s="44"/>
      <c r="VW17" s="44"/>
      <c r="VX17" s="44"/>
      <c r="VY17" s="44"/>
      <c r="VZ17" s="44"/>
      <c r="WA17" s="44"/>
      <c r="WB17" s="44"/>
      <c r="WC17" s="44"/>
      <c r="WD17" s="44"/>
      <c r="WE17" s="44"/>
      <c r="WF17" s="44"/>
      <c r="WG17" s="44"/>
      <c r="WH17" s="44"/>
      <c r="WI17" s="44"/>
      <c r="WJ17" s="44"/>
      <c r="WK17" s="44"/>
      <c r="WL17" s="44"/>
      <c r="WM17" s="44"/>
      <c r="WN17" s="44"/>
      <c r="WO17" s="44"/>
      <c r="WP17" s="44"/>
      <c r="WQ17" s="44"/>
      <c r="WR17" s="44"/>
      <c r="WS17" s="44"/>
      <c r="WT17" s="44"/>
      <c r="WU17" s="44"/>
      <c r="WV17" s="44"/>
      <c r="WW17" s="44"/>
      <c r="WX17" s="44"/>
      <c r="WY17" s="44"/>
      <c r="WZ17" s="44"/>
      <c r="XA17" s="44"/>
      <c r="XB17" s="44"/>
      <c r="XC17" s="44"/>
      <c r="XD17" s="44"/>
      <c r="XE17" s="44"/>
      <c r="XF17" s="44"/>
      <c r="XG17" s="44"/>
      <c r="XH17" s="44"/>
      <c r="XI17" s="44"/>
      <c r="XJ17" s="44"/>
      <c r="XK17" s="44"/>
      <c r="XL17" s="44"/>
      <c r="XM17" s="44"/>
      <c r="XN17" s="44"/>
      <c r="XO17" s="44"/>
      <c r="XP17" s="44"/>
      <c r="XQ17" s="44"/>
      <c r="XR17" s="44"/>
      <c r="XS17" s="44"/>
      <c r="XT17" s="44"/>
      <c r="XU17" s="44"/>
      <c r="XV17" s="44"/>
      <c r="XW17" s="44"/>
      <c r="XX17" s="44"/>
      <c r="XY17" s="44"/>
      <c r="XZ17" s="44"/>
      <c r="YA17" s="44"/>
      <c r="YB17" s="44"/>
      <c r="YC17" s="44"/>
      <c r="YD17" s="44"/>
      <c r="YE17" s="44"/>
      <c r="YF17" s="44"/>
      <c r="YG17" s="44"/>
      <c r="YH17" s="44"/>
      <c r="YI17" s="44"/>
      <c r="YJ17" s="44"/>
      <c r="YK17" s="44"/>
      <c r="YL17" s="44"/>
      <c r="YM17" s="44"/>
      <c r="YN17" s="44"/>
      <c r="YO17" s="44"/>
      <c r="YP17" s="44"/>
      <c r="YQ17" s="44"/>
      <c r="YR17" s="44"/>
      <c r="YS17" s="44"/>
      <c r="YT17" s="44"/>
      <c r="YU17" s="44"/>
      <c r="YV17" s="44"/>
      <c r="YW17" s="44"/>
      <c r="YX17" s="44"/>
      <c r="YY17" s="44"/>
      <c r="YZ17" s="44"/>
      <c r="ZA17" s="44"/>
      <c r="ZB17" s="44"/>
      <c r="ZC17" s="44"/>
      <c r="ZD17" s="44"/>
      <c r="ZE17" s="44"/>
      <c r="ZF17" s="44"/>
      <c r="ZG17" s="44"/>
      <c r="ZH17" s="44"/>
      <c r="ZI17" s="44"/>
      <c r="ZJ17" s="44"/>
      <c r="ZK17" s="44"/>
      <c r="ZL17" s="44"/>
      <c r="ZM17" s="44"/>
      <c r="ZN17" s="44"/>
      <c r="ZO17" s="44"/>
      <c r="ZP17" s="44"/>
      <c r="ZQ17" s="44"/>
      <c r="ZR17" s="44"/>
      <c r="ZS17" s="44"/>
      <c r="ZT17" s="44"/>
      <c r="ZU17" s="44"/>
      <c r="ZV17" s="44"/>
      <c r="ZW17" s="44"/>
      <c r="ZX17" s="44"/>
      <c r="ZY17" s="44"/>
      <c r="ZZ17" s="44"/>
      <c r="AAA17" s="44"/>
      <c r="AAB17" s="44"/>
      <c r="AAC17" s="44"/>
      <c r="AAD17" s="44"/>
      <c r="AAE17" s="44"/>
      <c r="AAF17" s="44"/>
      <c r="AAG17" s="44"/>
      <c r="AAH17" s="44"/>
      <c r="AAI17" s="44"/>
      <c r="AAJ17" s="44"/>
      <c r="AAK17" s="44"/>
      <c r="AAL17" s="44"/>
      <c r="AAM17" s="44"/>
      <c r="AAN17" s="44"/>
      <c r="AAO17" s="44"/>
      <c r="AAP17" s="44"/>
      <c r="AAQ17" s="44"/>
      <c r="AAR17" s="44"/>
      <c r="AAS17" s="44"/>
      <c r="AAT17" s="44"/>
      <c r="AAU17" s="44"/>
      <c r="AAV17" s="44"/>
      <c r="AAW17" s="44"/>
      <c r="AAX17" s="44"/>
      <c r="AAY17" s="44"/>
      <c r="AAZ17" s="44"/>
      <c r="ABA17" s="44"/>
      <c r="ABB17" s="44"/>
      <c r="ABC17" s="44"/>
      <c r="ABD17" s="44"/>
      <c r="ABE17" s="44"/>
      <c r="ABF17" s="44"/>
      <c r="ABG17" s="44"/>
      <c r="ABH17" s="44"/>
      <c r="ABI17" s="44"/>
      <c r="ABJ17" s="44"/>
      <c r="ABK17" s="44"/>
      <c r="ABL17" s="44"/>
      <c r="ABM17" s="44"/>
      <c r="ABN17" s="44"/>
      <c r="ABO17" s="44"/>
      <c r="ABP17" s="44"/>
      <c r="ABQ17" s="44"/>
      <c r="ABR17" s="44"/>
      <c r="ABS17" s="44"/>
      <c r="ABT17" s="44"/>
      <c r="ABU17" s="44"/>
      <c r="ABV17" s="44"/>
      <c r="ABW17" s="44"/>
      <c r="ABX17" s="44"/>
      <c r="ABY17" s="44"/>
      <c r="ABZ17" s="44"/>
      <c r="ACA17" s="44"/>
      <c r="ACB17" s="44"/>
      <c r="ACC17" s="44"/>
      <c r="ACD17" s="44"/>
      <c r="ACE17" s="44"/>
      <c r="ACF17" s="44"/>
      <c r="ACG17" s="44"/>
      <c r="ACH17" s="44"/>
      <c r="ACI17" s="44"/>
      <c r="ACJ17" s="44"/>
      <c r="ACK17" s="44"/>
      <c r="ACL17" s="44"/>
      <c r="ACM17" s="44"/>
      <c r="ACN17" s="44"/>
      <c r="ACO17" s="44"/>
      <c r="ACP17" s="44"/>
      <c r="ACQ17" s="44"/>
      <c r="ACR17" s="44"/>
      <c r="ACS17" s="44"/>
      <c r="ACT17" s="44"/>
      <c r="ACU17" s="44"/>
      <c r="ACV17" s="44"/>
      <c r="ACW17" s="44"/>
      <c r="ACX17" s="44"/>
      <c r="ACY17" s="44"/>
      <c r="ACZ17" s="44"/>
      <c r="ADA17" s="44"/>
      <c r="ADB17" s="44"/>
      <c r="ADC17" s="44"/>
      <c r="ADD17" s="44"/>
      <c r="ADE17" s="44"/>
      <c r="ADF17" s="44"/>
      <c r="ADG17" s="44"/>
      <c r="ADH17" s="44"/>
      <c r="ADI17" s="44"/>
      <c r="ADJ17" s="44"/>
      <c r="ADK17" s="44"/>
      <c r="ADL17" s="44"/>
      <c r="ADM17" s="44"/>
      <c r="ADN17" s="44"/>
      <c r="ADO17" s="44"/>
      <c r="ADP17" s="44"/>
      <c r="ADQ17" s="44"/>
      <c r="ADR17" s="44"/>
      <c r="ADS17" s="44"/>
      <c r="ADT17" s="44"/>
      <c r="ADU17" s="44"/>
      <c r="ADV17" s="44"/>
      <c r="ADW17" s="44"/>
      <c r="ADX17" s="44"/>
      <c r="ADY17" s="44"/>
      <c r="ADZ17" s="44"/>
      <c r="AEA17" s="44"/>
      <c r="AEB17" s="44"/>
      <c r="AEC17" s="44"/>
      <c r="AED17" s="44"/>
      <c r="AEE17" s="44"/>
      <c r="AEF17" s="44"/>
      <c r="AEG17" s="44"/>
      <c r="AEH17" s="44"/>
      <c r="AEI17" s="44"/>
      <c r="AEJ17" s="44"/>
      <c r="AEK17" s="44"/>
      <c r="AEL17" s="44"/>
      <c r="AEM17" s="44"/>
      <c r="AEN17" s="44"/>
      <c r="AEO17" s="44"/>
      <c r="AEP17" s="44"/>
      <c r="AEQ17" s="44"/>
      <c r="AER17" s="44"/>
      <c r="AES17" s="44"/>
      <c r="AET17" s="44"/>
      <c r="AEU17" s="44"/>
      <c r="AEV17" s="44"/>
      <c r="AEW17" s="44"/>
      <c r="AEX17" s="44"/>
      <c r="AEY17" s="44"/>
      <c r="AEZ17" s="44"/>
      <c r="AFA17" s="44"/>
      <c r="AFB17" s="44"/>
      <c r="AFC17" s="44"/>
      <c r="AFD17" s="44"/>
      <c r="AFE17" s="44"/>
      <c r="AFF17" s="44"/>
      <c r="AFG17" s="44"/>
      <c r="AFH17" s="44"/>
      <c r="AFI17" s="44"/>
      <c r="AFJ17" s="44"/>
      <c r="AFK17" s="44"/>
      <c r="AFL17" s="44"/>
      <c r="AFM17" s="44"/>
      <c r="AFN17" s="44"/>
      <c r="AFO17" s="44"/>
      <c r="AFP17" s="44"/>
      <c r="AFQ17" s="44"/>
      <c r="AFR17" s="44"/>
      <c r="AFS17" s="44"/>
      <c r="AFT17" s="44"/>
      <c r="AFU17" s="44"/>
      <c r="AFV17" s="44"/>
      <c r="AFW17" s="44"/>
      <c r="AFX17" s="44"/>
      <c r="AFY17" s="44"/>
      <c r="AFZ17" s="44"/>
      <c r="AGA17" s="44"/>
      <c r="AGB17" s="44"/>
      <c r="AGC17" s="44"/>
      <c r="AGD17" s="44"/>
      <c r="AGE17" s="44"/>
      <c r="AGF17" s="44"/>
      <c r="AGG17" s="44"/>
      <c r="AGH17" s="44"/>
      <c r="AGI17" s="44"/>
      <c r="AGJ17" s="44"/>
      <c r="AGK17" s="44"/>
      <c r="AGL17" s="44"/>
      <c r="AGM17" s="44"/>
      <c r="AGN17" s="44"/>
      <c r="AGO17" s="44"/>
      <c r="AGP17" s="44"/>
      <c r="AGQ17" s="44"/>
      <c r="AGR17" s="44"/>
      <c r="AGS17" s="44"/>
      <c r="AGT17" s="44"/>
      <c r="AGU17" s="44"/>
      <c r="AGV17" s="44"/>
      <c r="AGW17" s="44"/>
      <c r="AGX17" s="44"/>
      <c r="AGY17" s="44"/>
      <c r="AGZ17" s="44"/>
      <c r="AHA17" s="44"/>
      <c r="AHB17" s="44"/>
      <c r="AHC17" s="44"/>
      <c r="AHD17" s="44"/>
      <c r="AHE17" s="44"/>
      <c r="AHF17" s="44"/>
      <c r="AHG17" s="44"/>
      <c r="AHH17" s="44"/>
      <c r="AHI17" s="44"/>
      <c r="AHJ17" s="44"/>
      <c r="AHK17" s="44"/>
      <c r="AHL17" s="44"/>
      <c r="AHM17" s="44"/>
      <c r="AHN17" s="44"/>
      <c r="AHO17" s="44"/>
      <c r="AHP17" s="44"/>
      <c r="AHQ17" s="44"/>
      <c r="AHR17" s="44"/>
      <c r="AHS17" s="44"/>
      <c r="AHT17" s="44"/>
      <c r="AHU17" s="44"/>
      <c r="AHV17" s="44"/>
      <c r="AHW17" s="44"/>
      <c r="AHX17" s="44"/>
      <c r="AHY17" s="44"/>
      <c r="AHZ17" s="44"/>
      <c r="AIA17" s="44"/>
      <c r="AIB17" s="44"/>
      <c r="AIC17" s="44"/>
      <c r="AID17" s="44"/>
      <c r="AIE17" s="44"/>
      <c r="AIF17" s="44"/>
      <c r="AIG17" s="44"/>
      <c r="AIH17" s="44"/>
      <c r="AII17" s="44"/>
      <c r="AIJ17" s="44"/>
      <c r="AIK17" s="44"/>
      <c r="AIL17" s="44"/>
      <c r="AIM17" s="44"/>
      <c r="AIN17" s="44"/>
      <c r="AIO17" s="44"/>
      <c r="AIP17" s="44"/>
      <c r="AIQ17" s="44"/>
      <c r="AIR17" s="44"/>
      <c r="AIS17" s="44"/>
      <c r="AIT17" s="44"/>
      <c r="AIU17" s="44"/>
      <c r="AIV17" s="44"/>
      <c r="AIW17" s="44"/>
      <c r="AIX17" s="44"/>
      <c r="AIY17" s="44"/>
      <c r="AIZ17" s="44"/>
      <c r="AJA17" s="44"/>
      <c r="AJB17" s="44"/>
      <c r="AJC17" s="44"/>
      <c r="AJD17" s="44"/>
      <c r="AJE17" s="44"/>
      <c r="AJF17" s="44"/>
      <c r="AJG17" s="44"/>
      <c r="AJH17" s="44"/>
      <c r="AJI17" s="44"/>
      <c r="AJJ17" s="44"/>
      <c r="AJK17" s="44"/>
      <c r="AJL17" s="44"/>
      <c r="AJM17" s="44"/>
      <c r="AJN17" s="44"/>
      <c r="AJO17" s="44"/>
      <c r="AJP17" s="44"/>
      <c r="AJQ17" s="44"/>
      <c r="AJR17" s="44"/>
      <c r="AJS17" s="44"/>
      <c r="AJT17" s="44"/>
      <c r="AJU17" s="44"/>
      <c r="AJV17" s="44"/>
      <c r="AJW17" s="44"/>
      <c r="AJX17" s="44"/>
      <c r="AJY17" s="44"/>
      <c r="AJZ17" s="44"/>
    </row>
    <row r="18" spans="1:962" s="58" customFormat="1" ht="15.5" thickTop="1" thickBot="1" x14ac:dyDescent="0.4">
      <c r="A18" s="63">
        <v>16</v>
      </c>
      <c r="B18" s="67" t="str">
        <f>IF(E18&gt;1,"EN USO",IF(F18&gt;1,"EN USO",IF(G18&gt;1,"EN USO","FUERA DE SERVICIO")))</f>
        <v>EN USO</v>
      </c>
      <c r="C18" s="71" t="s">
        <v>106</v>
      </c>
      <c r="D18" s="71" t="s">
        <v>107</v>
      </c>
      <c r="E18" s="71" t="s">
        <v>84</v>
      </c>
      <c r="F18" s="71"/>
      <c r="G18" s="71"/>
      <c r="H18" s="25" t="s">
        <v>85</v>
      </c>
      <c r="I18" s="25" t="s">
        <v>108</v>
      </c>
      <c r="J18" s="25" t="s">
        <v>109</v>
      </c>
      <c r="K18" s="72" t="s">
        <v>86</v>
      </c>
      <c r="L18" s="73">
        <v>43515</v>
      </c>
      <c r="M18" s="74">
        <v>2019</v>
      </c>
      <c r="N18" s="74" t="s">
        <v>110</v>
      </c>
      <c r="O18" s="74" t="s">
        <v>111</v>
      </c>
      <c r="P18" s="26" t="s">
        <v>164</v>
      </c>
      <c r="Q18" s="75">
        <v>45887</v>
      </c>
      <c r="R18" s="76">
        <f t="shared" ref="R18:R25" ca="1" si="6">Q18-TODAY()</f>
        <v>-80</v>
      </c>
      <c r="S18" s="25" t="str">
        <f t="shared" ref="S18:S25" ca="1" si="7">IF(R18&gt;=30,"Vigente",IF(AND(R18&gt;=1,R18&lt;=30),"Por Vencer","Vencido"))</f>
        <v>Vencido</v>
      </c>
      <c r="T18" s="77">
        <v>45716</v>
      </c>
      <c r="U18" s="76">
        <f t="shared" ref="U18:U25" ca="1" si="8">T18-TODAY()</f>
        <v>-251</v>
      </c>
      <c r="V18" s="25" t="str">
        <f t="shared" ref="V18:V25" ca="1" si="9">IF(U18&gt;=30,"Vigente",IF(AND(U18&gt;=1,U18&lt;=30),"Por Vencer","Vencido"))</f>
        <v>Vencido</v>
      </c>
      <c r="W18" s="78"/>
      <c r="X18" s="105"/>
      <c r="Y18" s="25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140"/>
      <c r="BE18" s="140"/>
      <c r="BF18" s="140"/>
      <c r="BG18" s="140"/>
      <c r="BH18" s="140"/>
      <c r="BI18" s="140"/>
      <c r="BJ18" s="140"/>
      <c r="BK18" s="140"/>
      <c r="BL18" s="140"/>
      <c r="BM18" s="140"/>
      <c r="BN18" s="140"/>
      <c r="BO18" s="140"/>
      <c r="BP18" s="140"/>
      <c r="BQ18" s="140"/>
      <c r="BR18" s="140"/>
      <c r="BS18" s="140"/>
      <c r="BT18" s="140"/>
      <c r="BU18" s="140"/>
      <c r="BV18" s="140"/>
      <c r="BW18" s="140"/>
      <c r="BX18" s="140"/>
      <c r="BY18" s="140"/>
      <c r="BZ18" s="140"/>
      <c r="CA18" s="140"/>
      <c r="CB18" s="140"/>
      <c r="CC18" s="140"/>
      <c r="CD18" s="140"/>
      <c r="CE18" s="140"/>
      <c r="CF18" s="140"/>
      <c r="CG18" s="140"/>
      <c r="CH18" s="140"/>
      <c r="CI18" s="140"/>
      <c r="CJ18" s="140"/>
      <c r="CK18" s="140"/>
      <c r="CL18" s="140"/>
      <c r="CM18" s="140"/>
      <c r="CN18" s="140"/>
      <c r="CO18" s="140"/>
      <c r="CP18" s="140"/>
      <c r="CQ18" s="140"/>
      <c r="CR18" s="140"/>
      <c r="CS18" s="140"/>
      <c r="CT18" s="140"/>
      <c r="CU18" s="140"/>
      <c r="CV18" s="140"/>
      <c r="CW18" s="140"/>
      <c r="CX18" s="140"/>
      <c r="CY18" s="140"/>
      <c r="CZ18" s="140"/>
      <c r="DA18" s="140"/>
      <c r="DB18" s="140"/>
      <c r="DC18" s="140"/>
      <c r="DD18" s="140"/>
      <c r="DE18" s="140"/>
      <c r="DF18" s="140"/>
      <c r="DG18" s="140"/>
      <c r="DH18" s="140"/>
      <c r="DI18" s="140"/>
      <c r="DJ18" s="140"/>
      <c r="DK18" s="140"/>
      <c r="DL18" s="140"/>
      <c r="DM18" s="140"/>
      <c r="DN18" s="140"/>
      <c r="DO18" s="140"/>
      <c r="DP18" s="140"/>
      <c r="DQ18" s="140"/>
      <c r="DR18" s="140"/>
      <c r="DS18" s="140"/>
      <c r="DT18" s="140"/>
      <c r="DU18" s="140"/>
      <c r="DV18" s="140"/>
      <c r="DW18" s="140"/>
      <c r="DX18" s="140"/>
      <c r="DY18" s="140"/>
      <c r="DZ18" s="140"/>
      <c r="EA18" s="140"/>
      <c r="EB18" s="140"/>
      <c r="EC18" s="140"/>
      <c r="ED18" s="140"/>
      <c r="EE18" s="140"/>
      <c r="EF18" s="140"/>
      <c r="EG18" s="140"/>
      <c r="EH18" s="140"/>
      <c r="EI18" s="140"/>
      <c r="EJ18" s="140"/>
      <c r="EK18" s="140"/>
      <c r="EL18" s="140"/>
      <c r="EM18" s="140"/>
      <c r="EN18" s="140"/>
      <c r="EO18" s="140"/>
      <c r="EP18" s="140"/>
      <c r="EQ18" s="140"/>
      <c r="ER18" s="140"/>
      <c r="ES18" s="140"/>
      <c r="ET18" s="140"/>
      <c r="EU18" s="140"/>
      <c r="EV18" s="140"/>
      <c r="EW18" s="140"/>
      <c r="EX18" s="140"/>
      <c r="EY18" s="140"/>
      <c r="EZ18" s="140"/>
      <c r="FA18" s="140"/>
      <c r="FB18" s="140"/>
      <c r="FC18" s="140"/>
      <c r="FD18" s="140"/>
      <c r="FE18" s="140"/>
      <c r="FF18" s="140"/>
      <c r="FG18" s="140"/>
      <c r="FH18" s="140"/>
      <c r="FI18" s="140"/>
      <c r="FJ18" s="140"/>
      <c r="FK18" s="140"/>
      <c r="FL18" s="140"/>
      <c r="FM18" s="140"/>
      <c r="FN18" s="140"/>
      <c r="FO18" s="140"/>
      <c r="FP18" s="140"/>
      <c r="FQ18" s="140"/>
      <c r="FR18" s="140"/>
      <c r="FS18" s="140"/>
      <c r="FT18" s="140"/>
      <c r="FU18" s="140"/>
      <c r="FV18" s="140"/>
      <c r="FW18" s="140"/>
      <c r="FX18" s="140"/>
      <c r="FY18" s="140"/>
      <c r="FZ18" s="140"/>
      <c r="GA18" s="140"/>
      <c r="GB18" s="140"/>
      <c r="GC18" s="140"/>
      <c r="GD18" s="140"/>
      <c r="GE18" s="140"/>
      <c r="GF18" s="140"/>
      <c r="GG18" s="140"/>
      <c r="GH18" s="140"/>
      <c r="GI18" s="140"/>
      <c r="GJ18" s="140"/>
      <c r="GK18" s="140"/>
      <c r="GL18" s="140"/>
      <c r="GM18" s="140"/>
      <c r="GN18" s="140"/>
      <c r="GO18" s="140"/>
      <c r="GP18" s="140"/>
      <c r="GQ18" s="140"/>
      <c r="GR18" s="140"/>
      <c r="GS18" s="140"/>
      <c r="GT18" s="140"/>
      <c r="GU18" s="140"/>
      <c r="GV18" s="140"/>
      <c r="GW18" s="140"/>
      <c r="GX18" s="140"/>
      <c r="GY18" s="140"/>
      <c r="GZ18" s="140"/>
      <c r="HA18" s="140"/>
      <c r="HB18" s="140"/>
      <c r="HC18" s="140"/>
      <c r="HD18" s="140"/>
      <c r="HE18" s="140"/>
      <c r="HF18" s="140"/>
      <c r="HG18" s="140"/>
      <c r="HH18" s="140"/>
      <c r="HI18" s="140"/>
      <c r="HJ18" s="140"/>
      <c r="HK18" s="140"/>
      <c r="HL18" s="140"/>
      <c r="HM18" s="140"/>
      <c r="HN18" s="140"/>
      <c r="HO18" s="140"/>
      <c r="HP18" s="140"/>
      <c r="HQ18" s="140"/>
      <c r="HR18" s="140"/>
      <c r="HS18" s="140"/>
      <c r="HT18" s="140"/>
      <c r="HU18" s="140"/>
      <c r="HV18" s="140"/>
      <c r="HW18" s="140"/>
      <c r="HX18" s="140"/>
      <c r="HY18" s="140"/>
      <c r="HZ18" s="140"/>
      <c r="IA18" s="140"/>
      <c r="IB18" s="140"/>
      <c r="IC18" s="140"/>
      <c r="ID18" s="140"/>
      <c r="IE18" s="140"/>
      <c r="IF18" s="140"/>
      <c r="IG18" s="140"/>
      <c r="IH18" s="140"/>
      <c r="II18" s="140"/>
      <c r="IJ18" s="140"/>
      <c r="IK18" s="140"/>
      <c r="IL18" s="140"/>
      <c r="IM18" s="140"/>
      <c r="IN18" s="140"/>
      <c r="IO18" s="140"/>
      <c r="IP18" s="140"/>
      <c r="IQ18" s="140"/>
      <c r="IR18" s="140"/>
      <c r="IS18" s="140"/>
      <c r="IT18" s="140"/>
      <c r="IU18" s="140"/>
      <c r="IV18" s="140"/>
      <c r="IW18" s="140"/>
      <c r="IX18" s="140"/>
      <c r="IY18" s="140"/>
      <c r="IZ18" s="140"/>
      <c r="JA18" s="140"/>
      <c r="JB18" s="140"/>
      <c r="JC18" s="140"/>
      <c r="JD18" s="140"/>
      <c r="JE18" s="140"/>
      <c r="JF18" s="140"/>
      <c r="JG18" s="140"/>
      <c r="JH18" s="140"/>
      <c r="JI18" s="140"/>
      <c r="JJ18" s="140"/>
      <c r="JK18" s="140"/>
      <c r="JL18" s="140"/>
      <c r="JM18" s="140"/>
      <c r="JN18" s="140"/>
      <c r="JO18" s="140"/>
      <c r="JP18" s="140"/>
      <c r="JQ18" s="140"/>
      <c r="JR18" s="140"/>
      <c r="JS18" s="140"/>
      <c r="JT18" s="140"/>
      <c r="JU18" s="140"/>
      <c r="JV18" s="140"/>
      <c r="JW18" s="140"/>
      <c r="JX18" s="140"/>
      <c r="JY18" s="140"/>
      <c r="JZ18" s="140"/>
      <c r="KA18" s="140"/>
      <c r="KB18" s="140"/>
      <c r="KC18" s="140"/>
      <c r="KD18" s="140"/>
      <c r="KE18" s="140"/>
      <c r="KF18" s="140"/>
      <c r="KG18" s="140"/>
      <c r="KH18" s="140"/>
      <c r="KI18" s="140"/>
      <c r="KJ18" s="140"/>
      <c r="KK18" s="140"/>
      <c r="KL18" s="140"/>
      <c r="KM18" s="140"/>
      <c r="KN18" s="140"/>
      <c r="KO18" s="140"/>
      <c r="KP18" s="140"/>
      <c r="KQ18" s="140"/>
      <c r="KR18" s="140"/>
      <c r="KS18" s="140"/>
      <c r="KT18" s="140"/>
      <c r="KU18" s="140"/>
      <c r="KV18" s="140"/>
      <c r="KW18" s="140"/>
      <c r="KX18" s="140"/>
      <c r="KY18" s="140"/>
      <c r="KZ18" s="140"/>
      <c r="LA18" s="140"/>
      <c r="LB18" s="140"/>
      <c r="LC18" s="140"/>
      <c r="LD18" s="140"/>
      <c r="LE18" s="140"/>
      <c r="LF18" s="140"/>
      <c r="LG18" s="140"/>
      <c r="LH18" s="140"/>
      <c r="LI18" s="140"/>
      <c r="LJ18" s="140"/>
      <c r="LK18" s="140"/>
      <c r="LL18" s="140"/>
      <c r="LM18" s="140"/>
      <c r="LN18" s="140"/>
      <c r="LO18" s="140"/>
      <c r="LP18" s="140"/>
      <c r="LQ18" s="140"/>
      <c r="LR18" s="140"/>
      <c r="LS18" s="140"/>
      <c r="LT18" s="140"/>
      <c r="LU18" s="140"/>
      <c r="LV18" s="140"/>
      <c r="LW18" s="140"/>
      <c r="LX18" s="140"/>
      <c r="LY18" s="140"/>
      <c r="LZ18" s="140"/>
      <c r="MA18" s="140"/>
      <c r="MB18" s="140"/>
      <c r="MC18" s="140"/>
      <c r="MD18" s="140"/>
      <c r="ME18" s="140"/>
      <c r="MF18" s="140"/>
      <c r="MG18" s="140"/>
      <c r="MH18" s="140"/>
      <c r="MI18" s="140"/>
      <c r="MJ18" s="140"/>
      <c r="MK18" s="140"/>
      <c r="ML18" s="140"/>
      <c r="MM18" s="140"/>
      <c r="MN18" s="140"/>
      <c r="MO18" s="140"/>
      <c r="MP18" s="140"/>
      <c r="MQ18" s="140"/>
      <c r="MR18" s="140"/>
      <c r="MS18" s="140"/>
      <c r="MT18" s="140"/>
      <c r="MU18" s="140"/>
      <c r="MV18" s="140"/>
      <c r="MW18" s="140"/>
      <c r="MX18" s="140"/>
      <c r="MY18" s="140"/>
      <c r="MZ18" s="140"/>
      <c r="NA18" s="140"/>
      <c r="NB18" s="140"/>
      <c r="NC18" s="140"/>
      <c r="ND18" s="140"/>
      <c r="NE18" s="140"/>
      <c r="NF18" s="140"/>
      <c r="NG18" s="140"/>
      <c r="NH18" s="140"/>
      <c r="NI18" s="140"/>
      <c r="NJ18" s="140"/>
      <c r="NK18" s="140"/>
      <c r="NL18" s="140"/>
      <c r="NM18" s="140"/>
      <c r="NN18" s="140"/>
      <c r="NO18" s="140"/>
      <c r="NP18" s="140"/>
      <c r="NQ18" s="140"/>
      <c r="NR18" s="140"/>
      <c r="NS18" s="140"/>
      <c r="NT18" s="140"/>
      <c r="NU18" s="140"/>
      <c r="NV18" s="140"/>
      <c r="NW18" s="140"/>
      <c r="NX18" s="140"/>
      <c r="NY18" s="140"/>
      <c r="NZ18" s="140"/>
      <c r="OA18" s="140"/>
      <c r="OB18" s="140"/>
      <c r="OC18" s="140"/>
      <c r="OD18" s="140"/>
      <c r="OE18" s="140"/>
      <c r="OF18" s="140"/>
      <c r="OG18" s="140"/>
      <c r="OH18" s="140"/>
      <c r="OI18" s="140"/>
      <c r="OJ18" s="140"/>
      <c r="OK18" s="140"/>
      <c r="OL18" s="140"/>
      <c r="OM18" s="140"/>
      <c r="ON18" s="140"/>
      <c r="OO18" s="140"/>
      <c r="OP18" s="140"/>
      <c r="OQ18" s="140"/>
      <c r="OR18" s="140"/>
      <c r="OS18" s="140"/>
      <c r="OT18" s="140"/>
      <c r="OU18" s="140"/>
      <c r="OV18" s="140"/>
      <c r="OW18" s="140"/>
      <c r="OX18" s="140"/>
      <c r="OY18" s="140"/>
      <c r="OZ18" s="140"/>
      <c r="PA18" s="140"/>
      <c r="PB18" s="140"/>
      <c r="PC18" s="140"/>
      <c r="PD18" s="140"/>
      <c r="PE18" s="140"/>
      <c r="PF18" s="140"/>
      <c r="PG18" s="140"/>
      <c r="PH18" s="140"/>
      <c r="PI18" s="140"/>
      <c r="PJ18" s="140"/>
      <c r="PK18" s="140"/>
      <c r="PL18" s="140"/>
      <c r="PM18" s="140"/>
      <c r="PN18" s="140"/>
      <c r="PO18" s="140"/>
      <c r="PP18" s="140"/>
      <c r="PQ18" s="140"/>
      <c r="PR18" s="140"/>
      <c r="PS18" s="140"/>
      <c r="PT18" s="140"/>
      <c r="PU18" s="140"/>
      <c r="PV18" s="140"/>
      <c r="PW18" s="140"/>
      <c r="PX18" s="140"/>
      <c r="PY18" s="140"/>
      <c r="PZ18" s="140"/>
      <c r="QA18" s="140"/>
      <c r="QB18" s="140"/>
      <c r="QC18" s="140"/>
      <c r="QD18" s="140"/>
      <c r="QE18" s="140"/>
      <c r="QF18" s="140"/>
      <c r="QG18" s="140"/>
      <c r="QH18" s="140"/>
      <c r="QI18" s="140"/>
      <c r="QJ18" s="140"/>
      <c r="QK18" s="140"/>
      <c r="QL18" s="140"/>
      <c r="QM18" s="140"/>
      <c r="QN18" s="140"/>
      <c r="QO18" s="140"/>
      <c r="QP18" s="140"/>
      <c r="QQ18" s="140"/>
      <c r="QR18" s="140"/>
      <c r="QS18" s="140"/>
      <c r="QT18" s="140"/>
      <c r="QU18" s="140"/>
      <c r="QV18" s="140"/>
      <c r="QW18" s="140"/>
      <c r="QX18" s="140"/>
      <c r="QY18" s="140"/>
      <c r="QZ18" s="140"/>
      <c r="RA18" s="140"/>
      <c r="RB18" s="140"/>
      <c r="RC18" s="140"/>
      <c r="RD18" s="140"/>
      <c r="RE18" s="140"/>
      <c r="RF18" s="140"/>
      <c r="RG18" s="140"/>
      <c r="RH18" s="140"/>
      <c r="RI18" s="140"/>
      <c r="RJ18" s="140"/>
      <c r="RK18" s="140"/>
      <c r="RL18" s="140"/>
      <c r="RM18" s="140"/>
      <c r="RN18" s="140"/>
      <c r="RO18" s="140"/>
      <c r="RP18" s="140"/>
      <c r="RQ18" s="140"/>
      <c r="RR18" s="140"/>
      <c r="RS18" s="140"/>
      <c r="RT18" s="140"/>
      <c r="RU18" s="140"/>
      <c r="RV18" s="140"/>
      <c r="RW18" s="140"/>
      <c r="RX18" s="140"/>
      <c r="RY18" s="140"/>
      <c r="RZ18" s="140"/>
      <c r="SA18" s="140"/>
      <c r="SB18" s="140"/>
      <c r="SC18" s="140"/>
      <c r="SD18" s="140"/>
      <c r="SE18" s="140"/>
      <c r="SF18" s="140"/>
      <c r="SG18" s="140"/>
      <c r="SH18" s="140"/>
      <c r="SI18" s="140"/>
      <c r="SJ18" s="140"/>
      <c r="SK18" s="140"/>
      <c r="SL18" s="140"/>
      <c r="SM18" s="140"/>
      <c r="SN18" s="140"/>
      <c r="SO18" s="140"/>
      <c r="SP18" s="140"/>
      <c r="SQ18" s="140"/>
      <c r="SR18" s="140"/>
      <c r="SS18" s="140"/>
      <c r="ST18" s="140"/>
      <c r="SU18" s="140"/>
      <c r="SV18" s="140"/>
      <c r="SW18" s="140"/>
      <c r="SX18" s="140"/>
      <c r="SY18" s="140"/>
      <c r="SZ18" s="140"/>
      <c r="TA18" s="140"/>
      <c r="TB18" s="140"/>
      <c r="TC18" s="140"/>
      <c r="TD18" s="140"/>
      <c r="TE18" s="140"/>
      <c r="TF18" s="140"/>
      <c r="TG18" s="140"/>
      <c r="TH18" s="140"/>
      <c r="TI18" s="140"/>
      <c r="TJ18" s="140"/>
      <c r="TK18" s="140"/>
      <c r="TL18" s="140"/>
      <c r="TM18" s="140"/>
      <c r="TN18" s="140"/>
      <c r="TO18" s="140"/>
      <c r="TP18" s="140"/>
      <c r="TQ18" s="140"/>
      <c r="TR18" s="140"/>
      <c r="TS18" s="140"/>
      <c r="TT18" s="140"/>
      <c r="TU18" s="140"/>
      <c r="TV18" s="140"/>
      <c r="TW18" s="140"/>
      <c r="TX18" s="140"/>
      <c r="TY18" s="140"/>
      <c r="TZ18" s="140"/>
      <c r="UA18" s="140"/>
      <c r="UB18" s="140"/>
      <c r="UC18" s="140"/>
      <c r="UD18" s="140"/>
      <c r="UE18" s="140"/>
      <c r="UF18" s="140"/>
      <c r="UG18" s="140"/>
      <c r="UH18" s="140"/>
      <c r="UI18" s="140"/>
      <c r="UJ18" s="140"/>
      <c r="UK18" s="140"/>
      <c r="UL18" s="140"/>
      <c r="UM18" s="140"/>
      <c r="UN18" s="140"/>
      <c r="UO18" s="140"/>
      <c r="UP18" s="140"/>
      <c r="UQ18" s="140"/>
      <c r="UR18" s="140"/>
      <c r="US18" s="140"/>
      <c r="UT18" s="140"/>
      <c r="UU18" s="140"/>
      <c r="UV18" s="140"/>
      <c r="UW18" s="140"/>
      <c r="UX18" s="140"/>
      <c r="UY18" s="140"/>
      <c r="UZ18" s="140"/>
      <c r="VA18" s="140"/>
      <c r="VB18" s="140"/>
      <c r="VC18" s="140"/>
      <c r="VD18" s="140"/>
      <c r="VE18" s="140"/>
      <c r="VF18" s="140"/>
      <c r="VG18" s="140"/>
      <c r="VH18" s="140"/>
      <c r="VI18" s="140"/>
      <c r="VJ18" s="140"/>
      <c r="VK18" s="140"/>
      <c r="VL18" s="140"/>
      <c r="VM18" s="140"/>
      <c r="VN18" s="140"/>
      <c r="VO18" s="140"/>
      <c r="VP18" s="140"/>
      <c r="VQ18" s="140"/>
      <c r="VR18" s="140"/>
      <c r="VS18" s="140"/>
      <c r="VT18" s="140"/>
      <c r="VU18" s="140"/>
      <c r="VV18" s="140"/>
      <c r="VW18" s="140"/>
      <c r="VX18" s="140"/>
      <c r="VY18" s="140"/>
      <c r="VZ18" s="140"/>
      <c r="WA18" s="140"/>
      <c r="WB18" s="140"/>
      <c r="WC18" s="140"/>
      <c r="WD18" s="140"/>
      <c r="WE18" s="140"/>
      <c r="WF18" s="140"/>
      <c r="WG18" s="140"/>
      <c r="WH18" s="140"/>
      <c r="WI18" s="140"/>
      <c r="WJ18" s="140"/>
      <c r="WK18" s="140"/>
      <c r="WL18" s="140"/>
      <c r="WM18" s="140"/>
      <c r="WN18" s="140"/>
      <c r="WO18" s="140"/>
      <c r="WP18" s="140"/>
      <c r="WQ18" s="140"/>
      <c r="WR18" s="140"/>
      <c r="WS18" s="140"/>
      <c r="WT18" s="140"/>
      <c r="WU18" s="140"/>
      <c r="WV18" s="140"/>
      <c r="WW18" s="140"/>
      <c r="WX18" s="140"/>
      <c r="WY18" s="140"/>
      <c r="WZ18" s="140"/>
      <c r="XA18" s="140"/>
      <c r="XB18" s="140"/>
      <c r="XC18" s="140"/>
      <c r="XD18" s="140"/>
      <c r="XE18" s="140"/>
      <c r="XF18" s="140"/>
      <c r="XG18" s="140"/>
      <c r="XH18" s="140"/>
      <c r="XI18" s="140"/>
      <c r="XJ18" s="140"/>
      <c r="XK18" s="140"/>
      <c r="XL18" s="140"/>
      <c r="XM18" s="140"/>
      <c r="XN18" s="140"/>
      <c r="XO18" s="140"/>
      <c r="XP18" s="140"/>
      <c r="XQ18" s="140"/>
      <c r="XR18" s="140"/>
      <c r="XS18" s="140"/>
      <c r="XT18" s="140"/>
      <c r="XU18" s="140"/>
      <c r="XV18" s="140"/>
      <c r="XW18" s="140"/>
      <c r="XX18" s="140"/>
      <c r="XY18" s="140"/>
      <c r="XZ18" s="140"/>
      <c r="YA18" s="140"/>
      <c r="YB18" s="140"/>
      <c r="YC18" s="140"/>
      <c r="YD18" s="140"/>
      <c r="YE18" s="140"/>
      <c r="YF18" s="140"/>
      <c r="YG18" s="140"/>
      <c r="YH18" s="140"/>
      <c r="YI18" s="140"/>
      <c r="YJ18" s="140"/>
      <c r="YK18" s="140"/>
      <c r="YL18" s="140"/>
      <c r="YM18" s="140"/>
      <c r="YN18" s="140"/>
      <c r="YO18" s="140"/>
      <c r="YP18" s="140"/>
      <c r="YQ18" s="140"/>
      <c r="YR18" s="140"/>
      <c r="YS18" s="140"/>
      <c r="YT18" s="140"/>
      <c r="YU18" s="140"/>
      <c r="YV18" s="140"/>
      <c r="YW18" s="140"/>
      <c r="YX18" s="140"/>
      <c r="YY18" s="140"/>
      <c r="YZ18" s="140"/>
      <c r="ZA18" s="140"/>
      <c r="ZB18" s="140"/>
      <c r="ZC18" s="140"/>
      <c r="ZD18" s="140"/>
      <c r="ZE18" s="140"/>
      <c r="ZF18" s="140"/>
      <c r="ZG18" s="140"/>
      <c r="ZH18" s="140"/>
      <c r="ZI18" s="140"/>
      <c r="ZJ18" s="140"/>
      <c r="ZK18" s="140"/>
      <c r="ZL18" s="140"/>
      <c r="ZM18" s="140"/>
      <c r="ZN18" s="140"/>
      <c r="ZO18" s="140"/>
      <c r="ZP18" s="140"/>
      <c r="ZQ18" s="140"/>
      <c r="ZR18" s="140"/>
      <c r="ZS18" s="140"/>
      <c r="ZT18" s="140"/>
      <c r="ZU18" s="140"/>
      <c r="ZV18" s="140"/>
      <c r="ZW18" s="140"/>
      <c r="ZX18" s="140"/>
      <c r="ZY18" s="140"/>
      <c r="ZZ18" s="140"/>
      <c r="AAA18" s="140"/>
      <c r="AAB18" s="140"/>
      <c r="AAC18" s="140"/>
      <c r="AAD18" s="140"/>
      <c r="AAE18" s="140"/>
      <c r="AAF18" s="140"/>
      <c r="AAG18" s="140"/>
      <c r="AAH18" s="140"/>
      <c r="AAI18" s="140"/>
      <c r="AAJ18" s="140"/>
      <c r="AAK18" s="140"/>
      <c r="AAL18" s="140"/>
      <c r="AAM18" s="140"/>
      <c r="AAN18" s="140"/>
      <c r="AAO18" s="140"/>
      <c r="AAP18" s="140"/>
      <c r="AAQ18" s="140"/>
      <c r="AAR18" s="140"/>
      <c r="AAS18" s="140"/>
      <c r="AAT18" s="140"/>
      <c r="AAU18" s="140"/>
      <c r="AAV18" s="140"/>
      <c r="AAW18" s="140"/>
      <c r="AAX18" s="140"/>
      <c r="AAY18" s="140"/>
      <c r="AAZ18" s="140"/>
      <c r="ABA18" s="140"/>
      <c r="ABB18" s="140"/>
      <c r="ABC18" s="140"/>
      <c r="ABD18" s="140"/>
      <c r="ABE18" s="140"/>
      <c r="ABF18" s="140"/>
      <c r="ABG18" s="140"/>
      <c r="ABH18" s="140"/>
      <c r="ABI18" s="140"/>
      <c r="ABJ18" s="140"/>
      <c r="ABK18" s="140"/>
      <c r="ABL18" s="140"/>
      <c r="ABM18" s="140"/>
      <c r="ABN18" s="140"/>
      <c r="ABO18" s="140"/>
      <c r="ABP18" s="140"/>
      <c r="ABQ18" s="140"/>
      <c r="ABR18" s="140"/>
      <c r="ABS18" s="140"/>
      <c r="ABT18" s="140"/>
      <c r="ABU18" s="140"/>
      <c r="ABV18" s="140"/>
      <c r="ABW18" s="140"/>
      <c r="ABX18" s="140"/>
      <c r="ABY18" s="140"/>
      <c r="ABZ18" s="140"/>
      <c r="ACA18" s="140"/>
      <c r="ACB18" s="140"/>
      <c r="ACC18" s="140"/>
      <c r="ACD18" s="140"/>
      <c r="ACE18" s="140"/>
      <c r="ACF18" s="140"/>
      <c r="ACG18" s="140"/>
      <c r="ACH18" s="140"/>
      <c r="ACI18" s="140"/>
      <c r="ACJ18" s="140"/>
      <c r="ACK18" s="140"/>
      <c r="ACL18" s="140"/>
      <c r="ACM18" s="140"/>
      <c r="ACN18" s="140"/>
      <c r="ACO18" s="140"/>
      <c r="ACP18" s="140"/>
      <c r="ACQ18" s="140"/>
      <c r="ACR18" s="140"/>
      <c r="ACS18" s="140"/>
      <c r="ACT18" s="140"/>
      <c r="ACU18" s="140"/>
      <c r="ACV18" s="140"/>
      <c r="ACW18" s="140"/>
      <c r="ACX18" s="140"/>
      <c r="ACY18" s="140"/>
      <c r="ACZ18" s="140"/>
      <c r="ADA18" s="140"/>
      <c r="ADB18" s="140"/>
      <c r="ADC18" s="140"/>
      <c r="ADD18" s="140"/>
      <c r="ADE18" s="140"/>
      <c r="ADF18" s="140"/>
      <c r="ADG18" s="140"/>
      <c r="ADH18" s="140"/>
      <c r="ADI18" s="140"/>
      <c r="ADJ18" s="140"/>
      <c r="ADK18" s="140"/>
      <c r="ADL18" s="140"/>
      <c r="ADM18" s="140"/>
      <c r="ADN18" s="140"/>
      <c r="ADO18" s="140"/>
      <c r="ADP18" s="140"/>
      <c r="ADQ18" s="140"/>
      <c r="ADR18" s="140"/>
      <c r="ADS18" s="140"/>
      <c r="ADT18" s="140"/>
      <c r="ADU18" s="140"/>
      <c r="ADV18" s="140"/>
      <c r="ADW18" s="140"/>
      <c r="ADX18" s="140"/>
      <c r="ADY18" s="140"/>
      <c r="ADZ18" s="140"/>
      <c r="AEA18" s="140"/>
      <c r="AEB18" s="140"/>
      <c r="AEC18" s="140"/>
      <c r="AED18" s="140"/>
      <c r="AEE18" s="140"/>
      <c r="AEF18" s="140"/>
      <c r="AEG18" s="140"/>
      <c r="AEH18" s="140"/>
      <c r="AEI18" s="140"/>
      <c r="AEJ18" s="140"/>
      <c r="AEK18" s="140"/>
      <c r="AEL18" s="140"/>
      <c r="AEM18" s="140"/>
      <c r="AEN18" s="140"/>
      <c r="AEO18" s="140"/>
      <c r="AEP18" s="140"/>
      <c r="AEQ18" s="140"/>
      <c r="AER18" s="140"/>
      <c r="AES18" s="140"/>
      <c r="AET18" s="140"/>
      <c r="AEU18" s="140"/>
      <c r="AEV18" s="140"/>
      <c r="AEW18" s="140"/>
      <c r="AEX18" s="140"/>
      <c r="AEY18" s="140"/>
      <c r="AEZ18" s="140"/>
      <c r="AFA18" s="140"/>
      <c r="AFB18" s="140"/>
      <c r="AFC18" s="140"/>
      <c r="AFD18" s="140"/>
      <c r="AFE18" s="140"/>
      <c r="AFF18" s="140"/>
      <c r="AFG18" s="140"/>
      <c r="AFH18" s="140"/>
      <c r="AFI18" s="140"/>
      <c r="AFJ18" s="140"/>
      <c r="AFK18" s="140"/>
      <c r="AFL18" s="140"/>
      <c r="AFM18" s="140"/>
      <c r="AFN18" s="140"/>
      <c r="AFO18" s="140"/>
      <c r="AFP18" s="140"/>
      <c r="AFQ18" s="140"/>
      <c r="AFR18" s="140"/>
      <c r="AFS18" s="140"/>
      <c r="AFT18" s="140"/>
      <c r="AFU18" s="140"/>
      <c r="AFV18" s="140"/>
      <c r="AFW18" s="140"/>
      <c r="AFX18" s="140"/>
      <c r="AFY18" s="140"/>
      <c r="AFZ18" s="140"/>
      <c r="AGA18" s="140"/>
      <c r="AGB18" s="140"/>
      <c r="AGC18" s="140"/>
      <c r="AGD18" s="140"/>
      <c r="AGE18" s="140"/>
      <c r="AGF18" s="140"/>
      <c r="AGG18" s="140"/>
      <c r="AGH18" s="140"/>
      <c r="AGI18" s="140"/>
      <c r="AGJ18" s="140"/>
      <c r="AGK18" s="140"/>
      <c r="AGL18" s="140"/>
      <c r="AGM18" s="140"/>
      <c r="AGN18" s="140"/>
      <c r="AGO18" s="140"/>
      <c r="AGP18" s="140"/>
      <c r="AGQ18" s="140"/>
      <c r="AGR18" s="140"/>
      <c r="AGS18" s="140"/>
      <c r="AGT18" s="140"/>
      <c r="AGU18" s="140"/>
      <c r="AGV18" s="140"/>
      <c r="AGW18" s="140"/>
      <c r="AGX18" s="140"/>
      <c r="AGY18" s="140"/>
      <c r="AGZ18" s="140"/>
      <c r="AHA18" s="140"/>
      <c r="AHB18" s="140"/>
      <c r="AHC18" s="140"/>
      <c r="AHD18" s="140"/>
      <c r="AHE18" s="140"/>
      <c r="AHF18" s="140"/>
      <c r="AHG18" s="140"/>
      <c r="AHH18" s="140"/>
      <c r="AHI18" s="140"/>
      <c r="AHJ18" s="140"/>
      <c r="AHK18" s="140"/>
      <c r="AHL18" s="140"/>
      <c r="AHM18" s="140"/>
      <c r="AHN18" s="140"/>
      <c r="AHO18" s="140"/>
      <c r="AHP18" s="140"/>
      <c r="AHQ18" s="140"/>
      <c r="AHR18" s="140"/>
      <c r="AHS18" s="140"/>
      <c r="AHT18" s="140"/>
      <c r="AHU18" s="140"/>
      <c r="AHV18" s="140"/>
      <c r="AHW18" s="140"/>
      <c r="AHX18" s="140"/>
      <c r="AHY18" s="140"/>
      <c r="AHZ18" s="140"/>
      <c r="AIA18" s="140"/>
      <c r="AIB18" s="140"/>
      <c r="AIC18" s="140"/>
      <c r="AID18" s="140"/>
      <c r="AIE18" s="140"/>
      <c r="AIF18" s="140"/>
      <c r="AIG18" s="140"/>
      <c r="AIH18" s="140"/>
      <c r="AII18" s="140"/>
      <c r="AIJ18" s="140"/>
      <c r="AIK18" s="140"/>
      <c r="AIL18" s="140"/>
      <c r="AIM18" s="140"/>
      <c r="AIN18" s="140"/>
      <c r="AIO18" s="140"/>
      <c r="AIP18" s="140"/>
      <c r="AIQ18" s="140"/>
      <c r="AIR18" s="140"/>
      <c r="AIS18" s="140"/>
      <c r="AIT18" s="140"/>
      <c r="AIU18" s="140"/>
      <c r="AIV18" s="140"/>
      <c r="AIW18" s="140"/>
      <c r="AIX18" s="140"/>
      <c r="AIY18" s="140"/>
      <c r="AIZ18" s="140"/>
      <c r="AJA18" s="140"/>
      <c r="AJB18" s="140"/>
      <c r="AJC18" s="140"/>
      <c r="AJD18" s="140"/>
      <c r="AJE18" s="140"/>
      <c r="AJF18" s="140"/>
      <c r="AJG18" s="140"/>
      <c r="AJH18" s="140"/>
      <c r="AJI18" s="140"/>
      <c r="AJJ18" s="140"/>
      <c r="AJK18" s="140"/>
      <c r="AJL18" s="140"/>
      <c r="AJM18" s="140"/>
      <c r="AJN18" s="140"/>
      <c r="AJO18" s="140"/>
      <c r="AJP18" s="140"/>
      <c r="AJQ18" s="140"/>
      <c r="AJR18" s="140"/>
      <c r="AJS18" s="140"/>
      <c r="AJT18" s="140"/>
      <c r="AJU18" s="140"/>
      <c r="AJV18" s="140"/>
      <c r="AJW18" s="140"/>
      <c r="AJX18" s="140"/>
      <c r="AJY18" s="140"/>
      <c r="AJZ18" s="140"/>
    </row>
    <row r="19" spans="1:962" ht="15" thickTop="1" x14ac:dyDescent="0.35">
      <c r="A19" s="63">
        <v>17</v>
      </c>
      <c r="B19" s="67" t="str">
        <f t="shared" ref="B19:B25" si="10">IF(E19&gt;1,"EN USO",IF(F19&gt;1,"EN USO",IF(G19&gt;1,"EN USO","FUERA DE SERVICIO")))</f>
        <v>EN USO</v>
      </c>
      <c r="C19" s="71" t="s">
        <v>112</v>
      </c>
      <c r="D19" s="71" t="s">
        <v>113</v>
      </c>
      <c r="E19" s="71"/>
      <c r="F19" s="71" t="s">
        <v>84</v>
      </c>
      <c r="G19" s="71"/>
      <c r="H19" s="25" t="s">
        <v>85</v>
      </c>
      <c r="I19" s="25" t="s">
        <v>108</v>
      </c>
      <c r="J19" s="25" t="s">
        <v>109</v>
      </c>
      <c r="K19" s="72" t="s">
        <v>86</v>
      </c>
      <c r="L19" s="73">
        <v>43584</v>
      </c>
      <c r="M19" s="74">
        <v>2019</v>
      </c>
      <c r="N19" s="74" t="s">
        <v>114</v>
      </c>
      <c r="O19" s="74" t="s">
        <v>115</v>
      </c>
      <c r="P19" s="26" t="s">
        <v>164</v>
      </c>
      <c r="Q19" s="75">
        <v>45887</v>
      </c>
      <c r="R19" s="76">
        <f t="shared" ca="1" si="6"/>
        <v>-80</v>
      </c>
      <c r="S19" s="25" t="str">
        <f t="shared" ca="1" si="7"/>
        <v>Vencido</v>
      </c>
      <c r="T19" s="77">
        <v>45912</v>
      </c>
      <c r="U19" s="76">
        <f t="shared" ca="1" si="8"/>
        <v>-55</v>
      </c>
      <c r="V19" s="25" t="str">
        <f t="shared" ca="1" si="9"/>
        <v>Vencido</v>
      </c>
      <c r="W19" s="78"/>
      <c r="X19" s="105"/>
      <c r="Y19" s="25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</row>
    <row r="20" spans="1:962" ht="14.5" x14ac:dyDescent="0.35">
      <c r="A20" s="63">
        <v>18</v>
      </c>
      <c r="B20" s="67" t="str">
        <f t="shared" si="10"/>
        <v>EN USO</v>
      </c>
      <c r="C20" s="71" t="s">
        <v>125</v>
      </c>
      <c r="D20" s="71" t="s">
        <v>126</v>
      </c>
      <c r="E20" s="71"/>
      <c r="F20" s="71"/>
      <c r="G20" s="71" t="s">
        <v>84</v>
      </c>
      <c r="H20" s="25" t="s">
        <v>85</v>
      </c>
      <c r="I20" s="25" t="s">
        <v>127</v>
      </c>
      <c r="J20" s="25" t="s">
        <v>99</v>
      </c>
      <c r="K20" s="72" t="s">
        <v>86</v>
      </c>
      <c r="L20" s="73">
        <v>43819</v>
      </c>
      <c r="M20" s="74">
        <v>2020</v>
      </c>
      <c r="N20" s="74" t="s">
        <v>128</v>
      </c>
      <c r="O20" s="74" t="s">
        <v>129</v>
      </c>
      <c r="P20" s="26" t="s">
        <v>164</v>
      </c>
      <c r="Q20" s="75">
        <v>45887</v>
      </c>
      <c r="R20" s="76">
        <f t="shared" ca="1" si="6"/>
        <v>-80</v>
      </c>
      <c r="S20" s="25" t="str">
        <f t="shared" ca="1" si="7"/>
        <v>Vencido</v>
      </c>
      <c r="T20" s="77">
        <v>45771</v>
      </c>
      <c r="U20" s="76">
        <f t="shared" ca="1" si="8"/>
        <v>-196</v>
      </c>
      <c r="V20" s="25" t="str">
        <f t="shared" ca="1" si="9"/>
        <v>Vencido</v>
      </c>
      <c r="W20" s="78"/>
      <c r="X20" s="105"/>
      <c r="Y20" s="25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</row>
    <row r="21" spans="1:962" ht="14.5" x14ac:dyDescent="0.35">
      <c r="A21" s="63">
        <v>19</v>
      </c>
      <c r="B21" s="67" t="str">
        <f t="shared" si="10"/>
        <v>EN USO</v>
      </c>
      <c r="C21" s="71" t="s">
        <v>130</v>
      </c>
      <c r="D21" s="71" t="s">
        <v>131</v>
      </c>
      <c r="E21" s="71" t="s">
        <v>84</v>
      </c>
      <c r="F21" s="71"/>
      <c r="G21" s="71"/>
      <c r="H21" s="25" t="s">
        <v>85</v>
      </c>
      <c r="I21" s="25" t="s">
        <v>127</v>
      </c>
      <c r="J21" s="25" t="s">
        <v>99</v>
      </c>
      <c r="K21" s="72" t="s">
        <v>86</v>
      </c>
      <c r="L21" s="73">
        <v>43819</v>
      </c>
      <c r="M21" s="74">
        <v>2020</v>
      </c>
      <c r="N21" s="74" t="s">
        <v>132</v>
      </c>
      <c r="O21" s="74" t="s">
        <v>133</v>
      </c>
      <c r="P21" s="26" t="s">
        <v>164</v>
      </c>
      <c r="Q21" s="75">
        <v>45887</v>
      </c>
      <c r="R21" s="76">
        <f t="shared" ca="1" si="6"/>
        <v>-80</v>
      </c>
      <c r="S21" s="25" t="str">
        <f t="shared" ca="1" si="7"/>
        <v>Vencido</v>
      </c>
      <c r="T21" s="77">
        <v>45779</v>
      </c>
      <c r="U21" s="76">
        <f t="shared" ca="1" si="8"/>
        <v>-188</v>
      </c>
      <c r="V21" s="25" t="str">
        <f t="shared" ca="1" si="9"/>
        <v>Vencido</v>
      </c>
      <c r="W21" s="78"/>
      <c r="X21" s="105"/>
      <c r="Y21" s="25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</row>
    <row r="22" spans="1:962" ht="14.5" x14ac:dyDescent="0.35">
      <c r="A22" s="63">
        <v>20</v>
      </c>
      <c r="B22" s="67" t="str">
        <f t="shared" si="10"/>
        <v>EN USO</v>
      </c>
      <c r="C22" s="71" t="s">
        <v>138</v>
      </c>
      <c r="D22" s="71" t="s">
        <v>139</v>
      </c>
      <c r="E22" s="71" t="s">
        <v>84</v>
      </c>
      <c r="F22" s="71"/>
      <c r="G22" s="71"/>
      <c r="H22" s="25" t="s">
        <v>85</v>
      </c>
      <c r="I22" s="25" t="s">
        <v>108</v>
      </c>
      <c r="J22" s="25" t="s">
        <v>109</v>
      </c>
      <c r="K22" s="72" t="s">
        <v>86</v>
      </c>
      <c r="L22" s="73">
        <v>43819</v>
      </c>
      <c r="M22" s="74">
        <v>2020</v>
      </c>
      <c r="N22" s="74" t="s">
        <v>140</v>
      </c>
      <c r="O22" s="74" t="s">
        <v>141</v>
      </c>
      <c r="P22" s="26" t="s">
        <v>164</v>
      </c>
      <c r="Q22" s="75">
        <v>45887</v>
      </c>
      <c r="R22" s="76">
        <f t="shared" ca="1" si="6"/>
        <v>-80</v>
      </c>
      <c r="S22" s="25" t="str">
        <f t="shared" ca="1" si="7"/>
        <v>Vencido</v>
      </c>
      <c r="T22" s="77">
        <v>46096</v>
      </c>
      <c r="U22" s="76">
        <f t="shared" ca="1" si="8"/>
        <v>129</v>
      </c>
      <c r="V22" s="25" t="str">
        <f t="shared" ca="1" si="9"/>
        <v>Vigente</v>
      </c>
      <c r="W22" s="78"/>
      <c r="X22" s="105"/>
      <c r="Y22" s="25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</row>
    <row r="23" spans="1:962" ht="14.5" x14ac:dyDescent="0.35">
      <c r="A23" s="63">
        <v>21</v>
      </c>
      <c r="B23" s="67" t="str">
        <f t="shared" si="10"/>
        <v>EN USO</v>
      </c>
      <c r="C23" s="71" t="s">
        <v>148</v>
      </c>
      <c r="D23" s="71" t="s">
        <v>149</v>
      </c>
      <c r="E23" s="71"/>
      <c r="F23" s="71"/>
      <c r="G23" s="71" t="s">
        <v>84</v>
      </c>
      <c r="H23" s="25" t="s">
        <v>85</v>
      </c>
      <c r="I23" s="25" t="s">
        <v>127</v>
      </c>
      <c r="J23" s="25" t="s">
        <v>99</v>
      </c>
      <c r="K23" s="72" t="s">
        <v>86</v>
      </c>
      <c r="L23" s="73">
        <v>44252</v>
      </c>
      <c r="M23" s="74">
        <v>2021</v>
      </c>
      <c r="N23" s="74" t="s">
        <v>150</v>
      </c>
      <c r="O23" s="74" t="s">
        <v>151</v>
      </c>
      <c r="P23" s="26" t="s">
        <v>164</v>
      </c>
      <c r="Q23" s="75">
        <v>45887</v>
      </c>
      <c r="R23" s="76">
        <f t="shared" ca="1" si="6"/>
        <v>-80</v>
      </c>
      <c r="S23" s="25" t="str">
        <f t="shared" ca="1" si="7"/>
        <v>Vencido</v>
      </c>
      <c r="T23" s="77">
        <v>45703</v>
      </c>
      <c r="U23" s="76">
        <f t="shared" ca="1" si="8"/>
        <v>-264</v>
      </c>
      <c r="V23" s="25" t="str">
        <f t="shared" ca="1" si="9"/>
        <v>Vencido</v>
      </c>
      <c r="W23" s="78"/>
      <c r="X23" s="105"/>
      <c r="Y23" s="25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</row>
    <row r="24" spans="1:962" ht="14.5" x14ac:dyDescent="0.35">
      <c r="A24" s="63">
        <v>22</v>
      </c>
      <c r="B24" s="67" t="str">
        <f t="shared" si="10"/>
        <v>EN USO</v>
      </c>
      <c r="C24" s="71" t="s">
        <v>144</v>
      </c>
      <c r="D24" s="71" t="s">
        <v>145</v>
      </c>
      <c r="E24" s="71" t="s">
        <v>84</v>
      </c>
      <c r="F24" s="71"/>
      <c r="G24" s="71"/>
      <c r="H24" s="25" t="s">
        <v>85</v>
      </c>
      <c r="I24" s="25" t="s">
        <v>127</v>
      </c>
      <c r="J24" s="25" t="s">
        <v>99</v>
      </c>
      <c r="K24" s="72" t="s">
        <v>86</v>
      </c>
      <c r="L24" s="73">
        <v>44252</v>
      </c>
      <c r="M24" s="74">
        <v>2021</v>
      </c>
      <c r="N24" s="74" t="s">
        <v>146</v>
      </c>
      <c r="O24" s="74" t="s">
        <v>147</v>
      </c>
      <c r="P24" s="26" t="s">
        <v>164</v>
      </c>
      <c r="Q24" s="75">
        <v>45887</v>
      </c>
      <c r="R24" s="76">
        <f t="shared" ca="1" si="6"/>
        <v>-80</v>
      </c>
      <c r="S24" s="25" t="str">
        <f t="shared" ca="1" si="7"/>
        <v>Vencido</v>
      </c>
      <c r="T24" s="77">
        <v>45697</v>
      </c>
      <c r="U24" s="76">
        <f t="shared" ca="1" si="8"/>
        <v>-270</v>
      </c>
      <c r="V24" s="25" t="str">
        <f t="shared" ca="1" si="9"/>
        <v>Vencido</v>
      </c>
      <c r="W24" s="78"/>
      <c r="X24" s="105"/>
      <c r="Y24" s="25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</row>
    <row r="25" spans="1:962" ht="14.5" x14ac:dyDescent="0.35">
      <c r="A25" s="63">
        <v>23</v>
      </c>
      <c r="B25" s="67" t="str">
        <f t="shared" si="10"/>
        <v>EN USO</v>
      </c>
      <c r="C25" s="71" t="s">
        <v>169</v>
      </c>
      <c r="D25" s="71" t="s">
        <v>163</v>
      </c>
      <c r="E25" s="71" t="s">
        <v>84</v>
      </c>
      <c r="F25" s="71"/>
      <c r="G25" s="71"/>
      <c r="H25" s="25" t="s">
        <v>85</v>
      </c>
      <c r="I25" s="25" t="s">
        <v>170</v>
      </c>
      <c r="J25" s="25" t="s">
        <v>99</v>
      </c>
      <c r="K25" s="72" t="s">
        <v>86</v>
      </c>
      <c r="L25" s="73">
        <v>44982</v>
      </c>
      <c r="M25" s="74">
        <v>2021</v>
      </c>
      <c r="N25" s="74" t="s">
        <v>171</v>
      </c>
      <c r="O25" s="74" t="s">
        <v>172</v>
      </c>
      <c r="P25" s="26" t="s">
        <v>164</v>
      </c>
      <c r="Q25" s="75">
        <v>45887</v>
      </c>
      <c r="R25" s="76">
        <f t="shared" ca="1" si="6"/>
        <v>-80</v>
      </c>
      <c r="S25" s="25" t="str">
        <f t="shared" ca="1" si="7"/>
        <v>Vencido</v>
      </c>
      <c r="T25" s="77">
        <v>45896</v>
      </c>
      <c r="U25" s="76">
        <f t="shared" ca="1" si="8"/>
        <v>-71</v>
      </c>
      <c r="V25" s="25" t="str">
        <f t="shared" ca="1" si="9"/>
        <v>Vencido</v>
      </c>
      <c r="W25" s="78"/>
      <c r="X25" s="105"/>
      <c r="Y25" s="25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</row>
    <row r="55" spans="1:22" ht="13.5" customHeight="1" x14ac:dyDescent="0.35">
      <c r="A55" s="47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141"/>
      <c r="S55" s="47"/>
      <c r="T55" s="47"/>
      <c r="U55" s="47"/>
      <c r="V55" s="47"/>
    </row>
    <row r="56" spans="1:22" ht="13.5" customHeight="1" x14ac:dyDescent="0.35">
      <c r="A56" s="47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141"/>
      <c r="S56" s="47"/>
      <c r="T56" s="47"/>
      <c r="U56" s="47"/>
      <c r="V56" s="47"/>
    </row>
    <row r="57" spans="1:22" ht="13.5" customHeight="1" x14ac:dyDescent="0.35">
      <c r="A57" s="121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122"/>
      <c r="S57" s="47"/>
      <c r="T57" s="47"/>
      <c r="U57" s="47"/>
      <c r="V57" s="47"/>
    </row>
    <row r="58" spans="1:22" ht="13.5" customHeight="1" x14ac:dyDescent="0.35">
      <c r="A58" s="123"/>
      <c r="B58" s="124"/>
      <c r="C58" s="124"/>
      <c r="D58" s="125"/>
      <c r="E58" s="125"/>
      <c r="F58" s="125"/>
      <c r="G58" s="54"/>
      <c r="H58" s="54"/>
      <c r="I58" s="54"/>
      <c r="J58" s="126"/>
      <c r="K58" s="127"/>
      <c r="L58" s="128"/>
      <c r="M58" s="128"/>
      <c r="N58" s="128"/>
      <c r="O58" s="129"/>
      <c r="P58" s="127"/>
      <c r="Q58" s="130"/>
      <c r="R58" s="131"/>
    </row>
    <row r="59" spans="1:22" ht="13.5" customHeight="1" x14ac:dyDescent="0.35">
      <c r="A59" s="123"/>
      <c r="B59" s="124"/>
      <c r="C59" s="124"/>
      <c r="D59" s="125"/>
      <c r="E59" s="125"/>
      <c r="F59" s="125"/>
      <c r="G59" s="54"/>
      <c r="H59" s="54"/>
      <c r="I59" s="54"/>
      <c r="J59" s="126"/>
      <c r="K59" s="127"/>
      <c r="L59" s="128"/>
      <c r="M59" s="128"/>
      <c r="N59" s="128"/>
      <c r="O59" s="129"/>
      <c r="P59" s="127"/>
      <c r="Q59" s="130"/>
      <c r="R59" s="132"/>
    </row>
    <row r="60" spans="1:22" ht="13.5" customHeight="1" x14ac:dyDescent="0.35">
      <c r="A60" s="123"/>
      <c r="B60" s="133"/>
      <c r="C60" s="133"/>
      <c r="D60" s="134"/>
      <c r="E60" s="134"/>
      <c r="F60" s="134"/>
      <c r="G60" s="135"/>
      <c r="H60" s="135"/>
      <c r="I60" s="135"/>
      <c r="J60" s="126"/>
      <c r="K60" s="136"/>
      <c r="L60" s="137"/>
      <c r="M60" s="126"/>
      <c r="N60" s="54"/>
      <c r="O60" s="129"/>
      <c r="P60" s="127"/>
      <c r="Q60" s="130"/>
      <c r="R60" s="132"/>
      <c r="S60" s="49"/>
      <c r="T60" s="49"/>
      <c r="U60" s="49"/>
      <c r="V60" s="49"/>
    </row>
    <row r="61" spans="1:22" ht="13.5" customHeight="1" x14ac:dyDescent="0.35">
      <c r="A61" s="123"/>
      <c r="B61" s="133"/>
      <c r="C61" s="133"/>
      <c r="D61" s="134"/>
      <c r="E61" s="134"/>
      <c r="F61" s="134"/>
      <c r="G61" s="135"/>
      <c r="H61" s="135"/>
      <c r="I61" s="135"/>
      <c r="J61" s="126"/>
      <c r="K61" s="136"/>
      <c r="L61" s="137"/>
      <c r="M61" s="126"/>
      <c r="N61" s="54"/>
      <c r="O61" s="129"/>
      <c r="P61" s="127"/>
      <c r="Q61" s="130"/>
      <c r="R61" s="123"/>
      <c r="S61" s="49"/>
      <c r="T61" s="49"/>
      <c r="U61" s="49"/>
      <c r="V61" s="49"/>
    </row>
    <row r="62" spans="1:22" ht="13.5" customHeight="1" x14ac:dyDescent="0.35">
      <c r="A62" s="123"/>
      <c r="B62" s="133"/>
      <c r="C62" s="133"/>
      <c r="D62" s="134"/>
      <c r="E62" s="134"/>
      <c r="F62" s="134"/>
      <c r="G62" s="138"/>
      <c r="H62" s="129"/>
      <c r="I62" s="135"/>
      <c r="J62" s="126"/>
      <c r="K62" s="126"/>
      <c r="L62" s="129"/>
      <c r="M62" s="129"/>
      <c r="N62" s="139"/>
      <c r="O62" s="129"/>
      <c r="P62" s="127"/>
      <c r="Q62" s="130"/>
      <c r="R62" s="132"/>
      <c r="S62" s="49"/>
      <c r="T62" s="49"/>
      <c r="U62" s="49"/>
      <c r="V62" s="49"/>
    </row>
    <row r="63" spans="1:22" ht="13.5" customHeight="1" x14ac:dyDescent="0.35">
      <c r="A63" s="123"/>
      <c r="B63" s="124"/>
      <c r="C63" s="124"/>
      <c r="D63" s="125"/>
      <c r="E63" s="125"/>
      <c r="F63" s="125"/>
      <c r="G63" s="54"/>
      <c r="H63" s="54"/>
      <c r="I63" s="54"/>
      <c r="J63" s="126"/>
      <c r="K63" s="127"/>
      <c r="L63" s="128"/>
      <c r="M63" s="128"/>
      <c r="N63" s="128"/>
      <c r="O63" s="129"/>
      <c r="P63" s="127"/>
      <c r="Q63" s="130"/>
      <c r="R63" s="132"/>
    </row>
    <row r="64" spans="1:22" ht="13.5" customHeight="1" x14ac:dyDescent="0.35">
      <c r="A64" s="123"/>
      <c r="B64" s="124"/>
      <c r="C64" s="124"/>
      <c r="D64" s="125"/>
      <c r="E64" s="125"/>
      <c r="F64" s="125"/>
      <c r="G64" s="54"/>
      <c r="H64" s="54"/>
      <c r="I64" s="54"/>
      <c r="J64" s="126"/>
      <c r="K64" s="127"/>
      <c r="L64" s="128"/>
      <c r="M64" s="128"/>
      <c r="N64" s="128"/>
      <c r="O64" s="129"/>
      <c r="P64" s="127"/>
      <c r="Q64" s="130"/>
      <c r="R64" s="132"/>
    </row>
    <row r="65" spans="1:22" ht="13.5" customHeight="1" x14ac:dyDescent="0.35">
      <c r="A65" s="123"/>
      <c r="B65" s="124"/>
      <c r="C65" s="124"/>
      <c r="D65" s="125"/>
      <c r="E65" s="125"/>
      <c r="F65" s="125"/>
      <c r="G65" s="129"/>
      <c r="H65" s="54"/>
      <c r="I65" s="54"/>
      <c r="J65" s="126"/>
      <c r="K65" s="127"/>
      <c r="L65" s="128"/>
      <c r="M65" s="128"/>
      <c r="N65" s="128"/>
      <c r="O65" s="129"/>
      <c r="P65" s="127"/>
      <c r="Q65" s="130"/>
      <c r="R65" s="132"/>
    </row>
    <row r="66" spans="1:22" ht="13.5" customHeight="1" x14ac:dyDescent="0.35">
      <c r="A66" s="123"/>
      <c r="B66" s="124"/>
      <c r="C66" s="124"/>
      <c r="D66" s="125"/>
      <c r="E66" s="125"/>
      <c r="F66" s="125"/>
      <c r="G66" s="129"/>
      <c r="H66" s="54"/>
      <c r="I66" s="54"/>
      <c r="J66" s="126"/>
      <c r="K66" s="127"/>
      <c r="L66" s="128"/>
      <c r="M66" s="128"/>
      <c r="N66" s="128"/>
      <c r="O66" s="129"/>
      <c r="P66" s="127"/>
      <c r="Q66" s="130"/>
      <c r="R66" s="132"/>
    </row>
    <row r="67" spans="1:22" ht="13.5" customHeight="1" x14ac:dyDescent="0.35">
      <c r="A67" s="123"/>
      <c r="B67" s="124"/>
      <c r="C67" s="124"/>
      <c r="D67" s="125"/>
      <c r="E67" s="125"/>
      <c r="F67" s="125"/>
      <c r="G67" s="54"/>
      <c r="H67" s="54"/>
      <c r="I67" s="54"/>
      <c r="J67" s="126"/>
      <c r="K67" s="127"/>
      <c r="L67" s="128"/>
      <c r="M67" s="128"/>
      <c r="N67" s="128"/>
      <c r="O67" s="129"/>
      <c r="P67" s="127"/>
      <c r="Q67" s="130"/>
      <c r="R67" s="132"/>
    </row>
    <row r="68" spans="1:22" ht="13.5" customHeight="1" x14ac:dyDescent="0.35">
      <c r="A68" s="123"/>
      <c r="B68" s="124"/>
      <c r="C68" s="124"/>
      <c r="D68" s="125"/>
      <c r="E68" s="125"/>
      <c r="F68" s="125"/>
      <c r="G68" s="54"/>
      <c r="H68" s="54"/>
      <c r="I68" s="54"/>
      <c r="J68" s="126"/>
      <c r="K68" s="127"/>
      <c r="L68" s="128"/>
      <c r="M68" s="128"/>
      <c r="N68" s="128"/>
      <c r="O68" s="129"/>
      <c r="P68" s="127"/>
      <c r="Q68" s="130"/>
      <c r="R68" s="132"/>
    </row>
    <row r="69" spans="1:22" ht="13.5" customHeight="1" x14ac:dyDescent="0.35">
      <c r="A69" s="123"/>
      <c r="B69" s="124"/>
      <c r="C69" s="124"/>
      <c r="D69" s="125"/>
      <c r="E69" s="125"/>
      <c r="F69" s="125"/>
      <c r="G69" s="54"/>
      <c r="H69" s="54"/>
      <c r="I69" s="54"/>
      <c r="J69" s="126"/>
      <c r="K69" s="127"/>
      <c r="L69" s="128"/>
      <c r="M69" s="128"/>
      <c r="N69" s="128"/>
      <c r="O69" s="129"/>
      <c r="P69" s="127"/>
      <c r="Q69" s="130"/>
      <c r="R69" s="132"/>
    </row>
    <row r="70" spans="1:22" ht="13.5" customHeight="1" x14ac:dyDescent="0.35">
      <c r="A70" s="123"/>
      <c r="B70" s="124"/>
      <c r="C70" s="124"/>
      <c r="D70" s="125"/>
      <c r="E70" s="125"/>
      <c r="F70" s="125"/>
      <c r="G70" s="54"/>
      <c r="H70" s="54"/>
      <c r="I70" s="54"/>
      <c r="J70" s="126"/>
      <c r="K70" s="127"/>
      <c r="L70" s="128"/>
      <c r="M70" s="128"/>
      <c r="N70" s="128"/>
      <c r="O70" s="129"/>
      <c r="P70" s="127"/>
      <c r="Q70" s="130"/>
      <c r="R70" s="131"/>
    </row>
    <row r="71" spans="1:22" ht="13.5" customHeight="1" x14ac:dyDescent="0.35">
      <c r="A71" s="134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</row>
    <row r="72" spans="1:22" ht="13.5" customHeight="1" x14ac:dyDescent="0.35">
      <c r="A72" s="123"/>
      <c r="B72" s="124"/>
      <c r="C72" s="124"/>
      <c r="D72" s="125"/>
      <c r="E72" s="125"/>
      <c r="F72" s="125"/>
      <c r="G72" s="54"/>
      <c r="H72" s="54"/>
      <c r="I72" s="54"/>
      <c r="J72" s="126"/>
      <c r="K72" s="127"/>
      <c r="L72" s="128"/>
      <c r="M72" s="128"/>
      <c r="N72" s="128"/>
      <c r="O72" s="129"/>
      <c r="P72" s="127"/>
      <c r="Q72" s="130"/>
      <c r="R72" s="131"/>
    </row>
    <row r="73" spans="1:22" ht="13.5" customHeight="1" x14ac:dyDescent="0.35">
      <c r="A73" s="123"/>
      <c r="B73" s="124"/>
      <c r="C73" s="124"/>
      <c r="D73" s="125"/>
      <c r="E73" s="125"/>
      <c r="F73" s="125"/>
      <c r="G73" s="54"/>
      <c r="H73" s="54"/>
      <c r="I73" s="54"/>
      <c r="J73" s="126"/>
      <c r="K73" s="127"/>
      <c r="L73" s="128"/>
      <c r="M73" s="128"/>
      <c r="N73" s="128"/>
      <c r="O73" s="129"/>
      <c r="P73" s="127"/>
      <c r="Q73" s="130"/>
      <c r="R73" s="131"/>
    </row>
    <row r="74" spans="1:22" ht="13.5" customHeight="1" x14ac:dyDescent="0.35">
      <c r="A74" s="123"/>
      <c r="B74" s="124"/>
      <c r="C74" s="124"/>
      <c r="D74" s="125"/>
      <c r="E74" s="125"/>
      <c r="F74" s="125"/>
      <c r="G74" s="54"/>
      <c r="H74" s="54"/>
      <c r="I74" s="54"/>
      <c r="J74" s="126"/>
      <c r="K74" s="127"/>
      <c r="L74" s="128"/>
      <c r="M74" s="128"/>
      <c r="N74" s="128"/>
      <c r="O74" s="129"/>
      <c r="P74" s="127"/>
      <c r="Q74" s="130"/>
      <c r="R74" s="131"/>
    </row>
    <row r="75" spans="1:22" ht="13.5" customHeight="1" x14ac:dyDescent="0.35">
      <c r="A75" s="123"/>
      <c r="B75" s="124"/>
      <c r="C75" s="124"/>
      <c r="D75" s="125"/>
      <c r="E75" s="125"/>
      <c r="F75" s="125"/>
      <c r="G75" s="54"/>
      <c r="H75" s="54"/>
      <c r="I75" s="54"/>
      <c r="J75" s="126"/>
      <c r="K75" s="127"/>
      <c r="L75" s="128"/>
      <c r="M75" s="128"/>
      <c r="N75" s="128"/>
      <c r="O75" s="129"/>
      <c r="P75" s="127"/>
      <c r="Q75" s="130"/>
      <c r="R75" s="131"/>
    </row>
    <row r="76" spans="1:22" ht="13.5" customHeight="1" x14ac:dyDescent="0.35">
      <c r="A76" s="123"/>
      <c r="B76" s="124"/>
      <c r="C76" s="124"/>
      <c r="D76" s="125"/>
      <c r="E76" s="125"/>
      <c r="F76" s="125"/>
      <c r="G76" s="54"/>
      <c r="H76" s="54"/>
      <c r="I76" s="54"/>
      <c r="J76" s="126"/>
      <c r="K76" s="127"/>
      <c r="L76" s="128"/>
      <c r="M76" s="128"/>
      <c r="N76" s="128"/>
      <c r="O76" s="129"/>
      <c r="P76" s="127"/>
      <c r="Q76" s="130"/>
      <c r="R76" s="131"/>
    </row>
    <row r="77" spans="1:22" ht="13.5" customHeight="1" x14ac:dyDescent="0.35">
      <c r="A77" s="123"/>
      <c r="B77" s="124"/>
      <c r="C77" s="124"/>
      <c r="D77" s="125"/>
      <c r="E77" s="125"/>
      <c r="F77" s="125"/>
      <c r="G77" s="54"/>
      <c r="H77" s="54"/>
      <c r="I77" s="54"/>
      <c r="J77" s="126"/>
      <c r="K77" s="127"/>
      <c r="L77" s="128"/>
      <c r="M77" s="128"/>
      <c r="N77" s="128"/>
      <c r="O77" s="129"/>
      <c r="P77" s="127"/>
      <c r="Q77" s="130"/>
      <c r="R77" s="131"/>
    </row>
    <row r="78" spans="1:22" ht="13.5" customHeight="1" x14ac:dyDescent="0.35">
      <c r="A78" s="123"/>
      <c r="B78" s="124"/>
      <c r="C78" s="124"/>
      <c r="D78" s="125"/>
      <c r="E78" s="125"/>
      <c r="F78" s="125"/>
      <c r="G78" s="54"/>
      <c r="H78" s="54"/>
      <c r="I78" s="54"/>
      <c r="J78" s="126"/>
      <c r="K78" s="127"/>
      <c r="L78" s="128"/>
      <c r="M78" s="128"/>
      <c r="N78" s="128"/>
      <c r="O78" s="129"/>
      <c r="P78" s="127"/>
      <c r="Q78" s="130"/>
      <c r="R78" s="131"/>
    </row>
    <row r="79" spans="1:22" ht="13.5" customHeight="1" x14ac:dyDescent="0.35">
      <c r="A79" s="123"/>
      <c r="B79" s="124"/>
      <c r="C79" s="124"/>
      <c r="D79" s="125"/>
      <c r="E79" s="125"/>
      <c r="F79" s="125"/>
      <c r="G79" s="54"/>
      <c r="H79" s="54"/>
      <c r="I79" s="54"/>
      <c r="J79" s="126"/>
      <c r="K79" s="127"/>
      <c r="L79" s="128"/>
      <c r="M79" s="128"/>
      <c r="N79" s="128"/>
      <c r="O79" s="129"/>
      <c r="P79" s="127"/>
      <c r="Q79" s="130"/>
      <c r="R79" s="131"/>
    </row>
  </sheetData>
  <sheetProtection formatCells="0" formatColumns="0" formatRows="0" insertColumns="0" insertRows="0" insertHyperlinks="0" deleteColumns="0" deleteRows="0" sort="0" autoFilter="0" pivotTables="0"/>
  <mergeCells count="1">
    <mergeCell ref="P1:Q1"/>
  </mergeCells>
  <conditionalFormatting sqref="B2">
    <cfRule type="containsText" dxfId="27" priority="1" operator="containsText" text="EN USO">
      <formula>NOT(ISERROR(SEARCH("EN USO",B2)))</formula>
    </cfRule>
  </conditionalFormatting>
  <conditionalFormatting sqref="B4:B6 B9:B10 B12:B15 B18:B25">
    <cfRule type="containsText" dxfId="26" priority="3" operator="containsText" text="EN USO">
      <formula>NOT(ISERROR(SEARCH("EN USO",B4)))</formula>
    </cfRule>
    <cfRule type="containsText" dxfId="25" priority="6" operator="containsText" text="FUERA DE SERVICIO">
      <formula>NOT(ISERROR(SEARCH("FUERA DE SERVICIO",B4)))</formula>
    </cfRule>
  </conditionalFormatting>
  <conditionalFormatting sqref="E5">
    <cfRule type="containsText" dxfId="23" priority="4" operator="containsText" text="EN USO">
      <formula>NOT(ISERROR(SEARCH("EN USO",E5)))</formula>
    </cfRule>
  </conditionalFormatting>
  <conditionalFormatting sqref="F14">
    <cfRule type="containsText" dxfId="22" priority="2" operator="containsText" text="EN USO">
      <formula>NOT(ISERROR(SEARCH("EN USO",F14)))</formula>
    </cfRule>
  </conditionalFormatting>
  <conditionalFormatting sqref="S4:S6">
    <cfRule type="containsText" dxfId="21" priority="16" operator="containsText" text="Vencido">
      <formula>NOT(ISERROR(SEARCH("Vencido",S4)))</formula>
    </cfRule>
    <cfRule type="containsText" dxfId="20" priority="17" operator="containsText" text="Por Vencer">
      <formula>NOT(ISERROR(SEARCH("Por Vencer",S4)))</formula>
    </cfRule>
    <cfRule type="containsText" dxfId="19" priority="18" operator="containsText" text="Vigente">
      <formula>NOT(ISERROR(SEARCH("Vigente",S4)))</formula>
    </cfRule>
    <cfRule type="expression" dxfId="18" priority="19">
      <formula>SS18="VENCIDA"</formula>
    </cfRule>
    <cfRule type="containsText" dxfId="17" priority="21" operator="containsText" text="vencida">
      <formula>NOT(ISERROR(SEARCH("vencida",S4)))</formula>
    </cfRule>
    <cfRule type="expression" dxfId="16" priority="22">
      <formula>SS18="VENCIDO"</formula>
    </cfRule>
    <cfRule type="expression" dxfId="15" priority="23">
      <formula>#REF!</formula>
    </cfRule>
  </conditionalFormatting>
  <conditionalFormatting sqref="V4:V6">
    <cfRule type="containsText" dxfId="14" priority="8" operator="containsText" text="Vencido">
      <formula>NOT(ISERROR(SEARCH("Vencido",V4)))</formula>
    </cfRule>
    <cfRule type="containsText" dxfId="13" priority="9" operator="containsText" text="Por Vencer">
      <formula>NOT(ISERROR(SEARCH("Por Vencer",V4)))</formula>
    </cfRule>
    <cfRule type="containsText" dxfId="12" priority="10" operator="containsText" text="Vigente">
      <formula>NOT(ISERROR(SEARCH("Vigente",V4)))</formula>
    </cfRule>
    <cfRule type="expression" dxfId="11" priority="11">
      <formula>SV18="VENCIDA"</formula>
    </cfRule>
    <cfRule type="containsText" dxfId="10" priority="13" operator="containsText" text="vencida">
      <formula>NOT(ISERROR(SEARCH("vencida",V4)))</formula>
    </cfRule>
    <cfRule type="expression" dxfId="9" priority="14">
      <formula>SV18="VENCIDO"</formula>
    </cfRule>
    <cfRule type="expression" dxfId="8" priority="15">
      <formula>#REF!</formula>
    </cfRule>
  </conditionalFormatting>
  <conditionalFormatting sqref="Y4:Y6 S8:S16 V8:V16 Y8:Y16 S18:S25 V18:V25 Y18:Y25">
    <cfRule type="containsText" dxfId="7" priority="24" operator="containsText" text="Vencido">
      <formula>NOT(ISERROR(SEARCH("Vencido",S4)))</formula>
    </cfRule>
    <cfRule type="containsText" dxfId="6" priority="25" operator="containsText" text="Por Vencer">
      <formula>NOT(ISERROR(SEARCH("Por Vencer",S4)))</formula>
    </cfRule>
    <cfRule type="containsText" dxfId="5" priority="26" operator="containsText" text="Vigente">
      <formula>NOT(ISERROR(SEARCH("Vigente",S4)))</formula>
    </cfRule>
    <cfRule type="expression" dxfId="4" priority="27">
      <formula>SS18="VENCIDA"</formula>
    </cfRule>
    <cfRule type="containsText" dxfId="3" priority="29" operator="containsText" text="vencida">
      <formula>NOT(ISERROR(SEARCH("vencida",S4)))</formula>
    </cfRule>
    <cfRule type="expression" dxfId="2" priority="30">
      <formula>SS18="VENCIDO"</formula>
    </cfRule>
    <cfRule type="expression" dxfId="1" priority="31">
      <formula>#REF!</formula>
    </cfRule>
  </conditionalFormatting>
  <pageMargins left="0.78740157480314965" right="0.78740157480314965" top="0.78740157480314965" bottom="0.78740157480314965" header="0" footer="0.31496062992125984"/>
  <pageSetup paperSize="9" orientation="landscape" r:id="rId1"/>
  <headerFooter>
    <oddHeader>&amp;C&amp;"-,Negrita Cursiva"&amp;36VENCIMIENTOS SEGÚN TIPO DE DOCUMENTO</oddHeader>
    <oddFooter>&amp;CPreparado por María Laura Bazzara &amp;D&amp;RPágina 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2" operator="containsText" id="{F4EB6907-1CC3-442D-AA9A-6263B97A4C64}">
            <xm:f>NOT(ISERROR(SEARCH($B$57,B4)))</xm:f>
            <xm:f>$B$57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B4:B6 B9:B10 B12:B15 B18:B25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workbookViewId="0">
      <selection activeCell="B18" sqref="B18"/>
    </sheetView>
  </sheetViews>
  <sheetFormatPr baseColWidth="10" defaultRowHeight="14.5" x14ac:dyDescent="0.35"/>
  <cols>
    <col min="2" max="2" width="17.1796875" bestFit="1" customWidth="1"/>
    <col min="3" max="4" width="30.81640625" bestFit="1" customWidth="1"/>
    <col min="5" max="5" width="17.81640625" bestFit="1" customWidth="1"/>
    <col min="6" max="6" width="16.81640625" customWidth="1"/>
  </cols>
  <sheetData>
    <row r="1" spans="1:12" ht="31.5" customHeight="1" x14ac:dyDescent="0.35">
      <c r="A1" s="29"/>
      <c r="B1" s="155" t="s">
        <v>179</v>
      </c>
      <c r="C1" s="155"/>
      <c r="D1" s="155"/>
      <c r="E1" s="155"/>
      <c r="F1" s="155"/>
      <c r="G1" s="155"/>
      <c r="H1" s="30" t="s">
        <v>180</v>
      </c>
      <c r="J1" s="6"/>
      <c r="L1" s="6"/>
    </row>
    <row r="2" spans="1:12" ht="15" thickBot="1" x14ac:dyDescent="0.4"/>
    <row r="3" spans="1:12" ht="15" thickBot="1" x14ac:dyDescent="0.4">
      <c r="B3" s="3" t="s">
        <v>27</v>
      </c>
      <c r="C3" s="3" t="s">
        <v>1</v>
      </c>
      <c r="D3" s="151" t="s">
        <v>2</v>
      </c>
      <c r="E3" s="2" t="s">
        <v>3</v>
      </c>
      <c r="F3" s="16" t="s">
        <v>15</v>
      </c>
      <c r="G3" s="24" t="s">
        <v>51</v>
      </c>
      <c r="H3" s="17" t="s">
        <v>63</v>
      </c>
    </row>
    <row r="4" spans="1:12" x14ac:dyDescent="0.35">
      <c r="B4" s="18" t="s">
        <v>8</v>
      </c>
      <c r="C4" s="149" t="s">
        <v>181</v>
      </c>
      <c r="D4" s="10" t="s">
        <v>4</v>
      </c>
      <c r="E4" s="142" t="s">
        <v>50</v>
      </c>
      <c r="F4" s="18" t="s">
        <v>16</v>
      </c>
      <c r="G4" s="143" t="s">
        <v>52</v>
      </c>
      <c r="H4" s="1" t="s">
        <v>65</v>
      </c>
      <c r="I4" s="1"/>
    </row>
    <row r="5" spans="1:12" x14ac:dyDescent="0.35">
      <c r="B5" s="1" t="s">
        <v>28</v>
      </c>
      <c r="C5" s="150" t="s">
        <v>41</v>
      </c>
      <c r="D5" s="11" t="s">
        <v>39</v>
      </c>
      <c r="E5" s="142" t="s">
        <v>49</v>
      </c>
      <c r="F5" s="1" t="s">
        <v>17</v>
      </c>
      <c r="G5" s="144" t="s">
        <v>53</v>
      </c>
      <c r="H5" s="28" t="s">
        <v>36</v>
      </c>
      <c r="I5" s="28"/>
    </row>
    <row r="6" spans="1:12" x14ac:dyDescent="0.35">
      <c r="B6" s="11" t="s">
        <v>11</v>
      </c>
      <c r="C6" s="149" t="s">
        <v>9</v>
      </c>
      <c r="D6" s="11" t="s">
        <v>47</v>
      </c>
      <c r="E6" s="142" t="s">
        <v>182</v>
      </c>
      <c r="F6" s="1" t="s">
        <v>18</v>
      </c>
      <c r="G6" s="144" t="s">
        <v>54</v>
      </c>
      <c r="H6" s="25" t="s">
        <v>32</v>
      </c>
      <c r="I6" s="25"/>
    </row>
    <row r="7" spans="1:12" x14ac:dyDescent="0.35">
      <c r="B7" s="15"/>
      <c r="C7" s="149" t="s">
        <v>14</v>
      </c>
      <c r="D7" s="10" t="s">
        <v>44</v>
      </c>
      <c r="E7" s="142" t="s">
        <v>48</v>
      </c>
      <c r="F7" s="1" t="s">
        <v>23</v>
      </c>
      <c r="G7" s="144" t="s">
        <v>55</v>
      </c>
      <c r="H7" s="27" t="s">
        <v>33</v>
      </c>
      <c r="I7" s="27"/>
    </row>
    <row r="8" spans="1:12" x14ac:dyDescent="0.35">
      <c r="B8" s="15" t="s">
        <v>26</v>
      </c>
      <c r="C8" s="149" t="s">
        <v>0</v>
      </c>
      <c r="D8" s="10" t="s">
        <v>41</v>
      </c>
      <c r="E8" s="142" t="s">
        <v>19</v>
      </c>
      <c r="F8" s="1" t="s">
        <v>24</v>
      </c>
      <c r="G8" s="144" t="s">
        <v>56</v>
      </c>
      <c r="H8" s="19" t="s">
        <v>37</v>
      </c>
      <c r="I8" s="19"/>
    </row>
    <row r="9" spans="1:12" x14ac:dyDescent="0.35">
      <c r="B9" s="12" t="s">
        <v>26</v>
      </c>
      <c r="C9" s="149" t="s">
        <v>10</v>
      </c>
      <c r="D9" s="10" t="s">
        <v>9</v>
      </c>
      <c r="E9" s="142" t="s">
        <v>20</v>
      </c>
      <c r="F9" s="1" t="s">
        <v>22</v>
      </c>
      <c r="G9" s="144" t="s">
        <v>57</v>
      </c>
      <c r="H9" s="19" t="s">
        <v>38</v>
      </c>
      <c r="I9" s="19"/>
    </row>
    <row r="10" spans="1:12" x14ac:dyDescent="0.35">
      <c r="B10" s="4"/>
      <c r="C10" s="149" t="s">
        <v>12</v>
      </c>
      <c r="D10" s="10" t="s">
        <v>43</v>
      </c>
      <c r="E10" s="142" t="s">
        <v>21</v>
      </c>
      <c r="F10" s="1" t="s">
        <v>25</v>
      </c>
      <c r="G10" s="144" t="s">
        <v>58</v>
      </c>
      <c r="H10" s="25" t="s">
        <v>34</v>
      </c>
      <c r="I10" s="25"/>
    </row>
    <row r="11" spans="1:12" x14ac:dyDescent="0.35">
      <c r="B11" s="4"/>
      <c r="C11" s="149" t="s">
        <v>7</v>
      </c>
      <c r="D11" s="10" t="s">
        <v>14</v>
      </c>
      <c r="E11" s="142" t="s">
        <v>29</v>
      </c>
      <c r="F11" s="1" t="s">
        <v>26</v>
      </c>
      <c r="G11" s="144" t="s">
        <v>59</v>
      </c>
      <c r="H11" s="26" t="s">
        <v>35</v>
      </c>
      <c r="I11" s="26"/>
    </row>
    <row r="12" spans="1:12" x14ac:dyDescent="0.35">
      <c r="B12" s="4"/>
      <c r="C12" s="149" t="s">
        <v>13</v>
      </c>
      <c r="D12" s="10" t="s">
        <v>0</v>
      </c>
      <c r="E12" s="142" t="s">
        <v>31</v>
      </c>
    </row>
    <row r="13" spans="1:12" x14ac:dyDescent="0.35">
      <c r="B13" s="4"/>
      <c r="D13" s="10" t="s">
        <v>30</v>
      </c>
      <c r="E13" s="142"/>
    </row>
    <row r="14" spans="1:12" x14ac:dyDescent="0.35">
      <c r="B14" s="4"/>
      <c r="D14" s="10" t="s">
        <v>5</v>
      </c>
      <c r="E14" s="145" t="s">
        <v>26</v>
      </c>
    </row>
    <row r="15" spans="1:12" x14ac:dyDescent="0.35">
      <c r="B15" s="4"/>
      <c r="D15" s="10" t="s">
        <v>42</v>
      </c>
      <c r="E15" s="146" t="s">
        <v>26</v>
      </c>
    </row>
    <row r="16" spans="1:12" x14ac:dyDescent="0.35">
      <c r="D16" s="11" t="s">
        <v>45</v>
      </c>
      <c r="E16" s="146" t="s">
        <v>26</v>
      </c>
    </row>
    <row r="17" spans="1:7" x14ac:dyDescent="0.35">
      <c r="D17" s="14" t="s">
        <v>46</v>
      </c>
      <c r="E17" s="147" t="s">
        <v>26</v>
      </c>
    </row>
    <row r="18" spans="1:7" x14ac:dyDescent="0.35">
      <c r="D18" s="1" t="s">
        <v>12</v>
      </c>
      <c r="E18" s="148"/>
    </row>
    <row r="19" spans="1:7" x14ac:dyDescent="0.35">
      <c r="D19" s="11" t="s">
        <v>6</v>
      </c>
    </row>
    <row r="20" spans="1:7" x14ac:dyDescent="0.35">
      <c r="D20" s="10" t="s">
        <v>7</v>
      </c>
    </row>
    <row r="21" spans="1:7" x14ac:dyDescent="0.35">
      <c r="D21" s="10" t="s">
        <v>40</v>
      </c>
    </row>
    <row r="22" spans="1:7" x14ac:dyDescent="0.35">
      <c r="D22" s="1"/>
      <c r="E22" s="148"/>
    </row>
    <row r="23" spans="1:7" x14ac:dyDescent="0.35">
      <c r="D23" s="1"/>
    </row>
    <row r="24" spans="1:7" x14ac:dyDescent="0.35">
      <c r="D24" s="11"/>
      <c r="E24" s="148"/>
    </row>
    <row r="25" spans="1:7" x14ac:dyDescent="0.35">
      <c r="D25" s="12" t="s">
        <v>26</v>
      </c>
    </row>
    <row r="26" spans="1:7" x14ac:dyDescent="0.35">
      <c r="D26" s="13" t="s">
        <v>26</v>
      </c>
    </row>
    <row r="27" spans="1:7" x14ac:dyDescent="0.35">
      <c r="D27" s="1"/>
    </row>
    <row r="32" spans="1:7" x14ac:dyDescent="0.35">
      <c r="A32" s="20"/>
      <c r="B32" s="21"/>
      <c r="C32" s="20"/>
      <c r="D32" s="21"/>
      <c r="E32" s="22"/>
      <c r="F32" s="20"/>
      <c r="G32" s="23"/>
    </row>
  </sheetData>
  <sortState xmlns:xlrd2="http://schemas.microsoft.com/office/spreadsheetml/2017/richdata2" ref="E4:E12">
    <sortCondition ref="E4"/>
  </sortState>
  <mergeCells count="1">
    <mergeCell ref="B1:G1"/>
  </mergeCells>
  <conditionalFormatting sqref="E4:E18 E22 E24">
    <cfRule type="cellIs" dxfId="0" priority="1" stopIfTrue="1" operator="notEqual">
      <formula>""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Planificacion semanal</vt:lpstr>
      <vt:lpstr>VEHICULOS</vt:lpstr>
      <vt:lpstr>Recursos NSR</vt:lpstr>
      <vt:lpstr>VEHICULOS!Área_de_impresión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Ariel Costallat</cp:lastModifiedBy>
  <cp:lastPrinted>2025-11-06T19:58:34Z</cp:lastPrinted>
  <dcterms:created xsi:type="dcterms:W3CDTF">2021-08-23T12:00:38Z</dcterms:created>
  <dcterms:modified xsi:type="dcterms:W3CDTF">2025-11-06T20:03:28Z</dcterms:modified>
</cp:coreProperties>
</file>